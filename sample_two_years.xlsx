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25 logbook" sheetId="1" state="visible" r:id="rId1"/>
    <sheet xmlns:r="http://schemas.openxmlformats.org/officeDocument/2006/relationships" name="2025-26 logbook" sheetId="2" state="visible" r:id="rId2"/>
  </sheets>
  <definedNames>
    <definedName name="_xlnm.Print_Titles" localSheetId="0">'2024-25 logbook'!$26:$26</definedName>
    <definedName name="_xlnm.Print_Titles" localSheetId="1">'2025-26 logbook'!$26:$26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right" vertical="center"/>
    </xf>
    <xf numFmtId="3" fontId="5" fillId="0" borderId="3" applyAlignment="1" pivotButton="0" quotePrefix="0" xfId="0">
      <alignment horizontal="right" vertical="center"/>
    </xf>
    <xf numFmtId="167" fontId="5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44" customWidth="1" min="5" max="5"/>
    <col width="30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MOTOR VEHICLE LOGBOOK</t>
        </is>
      </c>
    </row>
    <row r="2">
      <c r="A2" s="2" t="inlineStr">
        <is>
          <t>Logbook method - record of business and private travel</t>
        </is>
      </c>
    </row>
    <row r="4">
      <c r="A4" s="3" t="inlineStr">
        <is>
          <t>Vehicle and owner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Driver / owner</t>
        </is>
      </c>
      <c r="D5" s="6" t="inlineStr">
        <is>
          <t>Yash Vadukiya</t>
        </is>
      </c>
    </row>
    <row r="6">
      <c r="A6" s="5" t="inlineStr">
        <is>
          <t>Make</t>
        </is>
      </c>
      <c r="D6" s="6" t="inlineStr">
        <is>
          <t>Toyota</t>
        </is>
      </c>
    </row>
    <row r="7">
      <c r="A7" s="5" t="inlineStr">
        <is>
          <t>Model</t>
        </is>
      </c>
      <c r="D7" s="6" t="inlineStr">
        <is>
          <t>Corolla Hybrid</t>
        </is>
      </c>
    </row>
    <row r="8">
      <c r="A8" s="5" t="inlineStr">
        <is>
          <t>Year of manufacture</t>
        </is>
      </c>
      <c r="D8" s="6" t="inlineStr">
        <is>
          <t>2021</t>
        </is>
      </c>
    </row>
    <row r="9">
      <c r="A9" s="5" t="inlineStr">
        <is>
          <t>Engine capacity</t>
        </is>
      </c>
      <c r="D9" s="6" t="inlineStr">
        <is>
          <t>1.8L</t>
        </is>
      </c>
    </row>
    <row r="10">
      <c r="A10" s="5" t="inlineStr">
        <is>
          <t>Registration number</t>
        </is>
      </c>
      <c r="D10" s="6" t="inlineStr">
        <is>
          <t>ABC123</t>
        </is>
      </c>
    </row>
    <row r="12">
      <c r="A12" s="3" t="inlineStr">
        <is>
          <t>Logbook period and odometer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Period begins</t>
        </is>
      </c>
      <c r="D13" s="7" t="n">
        <v>45778</v>
      </c>
    </row>
    <row r="14">
      <c r="A14" s="5" t="inlineStr">
        <is>
          <t>Period ends</t>
        </is>
      </c>
      <c r="D14" s="7" t="n">
        <v>45838</v>
      </c>
    </row>
    <row r="15">
      <c r="A15" s="5" t="inlineStr">
        <is>
          <t>Odometer reading at start of period</t>
        </is>
      </c>
      <c r="D15" s="8" t="n">
        <v>20000</v>
      </c>
    </row>
    <row r="16">
      <c r="A16" s="5" t="inlineStr">
        <is>
          <t>Odometer reading at end of period</t>
        </is>
      </c>
      <c r="D16" s="8" t="n">
        <v>25954</v>
      </c>
    </row>
    <row r="17">
      <c r="A17" s="5" t="inlineStr">
        <is>
          <t>Total kilometres travelled in period</t>
        </is>
      </c>
      <c r="D17" s="9">
        <f>D16-D15</f>
        <v/>
      </c>
    </row>
    <row r="19">
      <c r="A19" s="3" t="inlineStr">
        <is>
          <t>Business use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Income earned in the period</t>
        </is>
      </c>
      <c r="D20" s="10" t="n">
        <v>8000</v>
      </c>
    </row>
    <row r="21">
      <c r="A21" s="5" t="inlineStr">
        <is>
          <t>Business kilometres</t>
        </is>
      </c>
      <c r="D21" s="8">
        <f>I90</f>
        <v/>
      </c>
    </row>
    <row r="22">
      <c r="A22" s="5" t="inlineStr">
        <is>
          <t>Private kilometres</t>
        </is>
      </c>
      <c r="D22" s="8">
        <f>I91</f>
        <v/>
      </c>
    </row>
    <row r="23">
      <c r="A23" s="5" t="inlineStr">
        <is>
          <t>BUSINESS-USE PERCENTAGE</t>
        </is>
      </c>
      <c r="D23" s="11">
        <f>IFERROR(D21/D17,0)</f>
        <v/>
      </c>
    </row>
    <row r="24">
      <c r="A24" s="5" t="inlineStr">
        <is>
          <t>Logbook valid until (5 years)</t>
        </is>
      </c>
      <c r="D24" s="7">
        <f>DATE(YEAR(D14)+5,MONTH(D14),DAY(D14))</f>
        <v/>
      </c>
    </row>
    <row r="26" ht="30" customHeight="1">
      <c r="A26" s="12" t="inlineStr">
        <is>
          <t>No.</t>
        </is>
      </c>
      <c r="B26" s="12" t="inlineStr">
        <is>
          <t>Journey start date</t>
        </is>
      </c>
      <c r="C26" s="12" t="inlineStr">
        <is>
          <t>Journey end date</t>
        </is>
      </c>
      <c r="D26" s="12" t="inlineStr">
        <is>
          <t>Purpose</t>
        </is>
      </c>
      <c r="E26" s="12" t="inlineStr">
        <is>
          <t>Reason for journey</t>
        </is>
      </c>
      <c r="F26" s="12" t="inlineStr">
        <is>
          <t>Destination</t>
        </is>
      </c>
      <c r="G26" s="12" t="inlineStr">
        <is>
          <t>Odometer start</t>
        </is>
      </c>
      <c r="H26" s="12" t="inlineStr">
        <is>
          <t>Odometer end</t>
        </is>
      </c>
      <c r="I26" s="12" t="inlineStr">
        <is>
          <t>Kilometres</t>
        </is>
      </c>
    </row>
    <row r="27">
      <c r="A27" s="13" t="n">
        <v>1</v>
      </c>
      <c r="B27" s="14" t="n">
        <v>45779</v>
      </c>
      <c r="C27" s="14" t="n">
        <v>45779</v>
      </c>
      <c r="D27" s="13" t="inlineStr">
        <is>
          <t>Business</t>
        </is>
      </c>
      <c r="E27" s="15" t="inlineStr">
        <is>
          <t>Food delivery run</t>
        </is>
      </c>
      <c r="F27" s="15" t="inlineStr">
        <is>
          <t>Aspley / Nundah</t>
        </is>
      </c>
      <c r="G27" s="16" t="n">
        <v>20000</v>
      </c>
      <c r="H27" s="16" t="n">
        <v>20220</v>
      </c>
      <c r="I27" s="16">
        <f>H27-G27</f>
        <v/>
      </c>
    </row>
    <row r="28">
      <c r="A28" s="13" t="n">
        <v>2</v>
      </c>
      <c r="B28" s="14" t="n">
        <v>45779</v>
      </c>
      <c r="C28" s="14" t="n">
        <v>45779</v>
      </c>
      <c r="D28" s="13" t="inlineStr">
        <is>
          <t>Private</t>
        </is>
      </c>
      <c r="E28" s="15" t="inlineStr">
        <is>
          <t>Private use - weekend outing</t>
        </is>
      </c>
      <c r="F28" s="15" t="inlineStr"/>
      <c r="G28" s="16" t="n">
        <v>20220</v>
      </c>
      <c r="H28" s="16" t="n">
        <v>20274</v>
      </c>
      <c r="I28" s="16">
        <f>H28-G28</f>
        <v/>
      </c>
    </row>
    <row r="29">
      <c r="A29" s="13" t="n">
        <v>3</v>
      </c>
      <c r="B29" s="14" t="n">
        <v>45781</v>
      </c>
      <c r="C29" s="14" t="n">
        <v>45781</v>
      </c>
      <c r="D29" s="13" t="inlineStr">
        <is>
          <t>Business</t>
        </is>
      </c>
      <c r="E29" s="15" t="inlineStr">
        <is>
          <t>Rideshare fares - event and venue pickups</t>
        </is>
      </c>
      <c r="F29" s="15" t="inlineStr">
        <is>
          <t>West End / Hamilton</t>
        </is>
      </c>
      <c r="G29" s="16" t="n">
        <v>20274</v>
      </c>
      <c r="H29" s="16" t="n">
        <v>20535</v>
      </c>
      <c r="I29" s="16">
        <f>H29-G29</f>
        <v/>
      </c>
    </row>
    <row r="30">
      <c r="A30" s="13" t="n">
        <v>4</v>
      </c>
      <c r="B30" s="14" t="n">
        <v>45781</v>
      </c>
      <c r="C30" s="14" t="n">
        <v>45781</v>
      </c>
      <c r="D30" s="13" t="inlineStr">
        <is>
          <t>Private</t>
        </is>
      </c>
      <c r="E30" s="15" t="inlineStr">
        <is>
          <t>Private use - family travel</t>
        </is>
      </c>
      <c r="F30" s="15" t="inlineStr"/>
      <c r="G30" s="16" t="n">
        <v>20535</v>
      </c>
      <c r="H30" s="16" t="n">
        <v>20566</v>
      </c>
      <c r="I30" s="16">
        <f>H30-G30</f>
        <v/>
      </c>
    </row>
    <row r="31">
      <c r="A31" s="13" t="n">
        <v>5</v>
      </c>
      <c r="B31" s="14" t="n">
        <v>45782</v>
      </c>
      <c r="C31" s="14" t="n">
        <v>45782</v>
      </c>
      <c r="D31" s="13" t="inlineStr">
        <is>
          <t>Private</t>
        </is>
      </c>
      <c r="E31" s="15" t="inlineStr">
        <is>
          <t>Private use - personal travel</t>
        </is>
      </c>
      <c r="F31" s="15" t="inlineStr"/>
      <c r="G31" s="16" t="n">
        <v>20566</v>
      </c>
      <c r="H31" s="16" t="n">
        <v>20622</v>
      </c>
      <c r="I31" s="16">
        <f>H31-G31</f>
        <v/>
      </c>
    </row>
    <row r="32">
      <c r="A32" s="13" t="n">
        <v>6</v>
      </c>
      <c r="B32" s="14" t="n">
        <v>45783</v>
      </c>
      <c r="C32" s="14" t="n">
        <v>45783</v>
      </c>
      <c r="D32" s="13" t="inlineStr">
        <is>
          <t>Private</t>
        </is>
      </c>
      <c r="E32" s="15" t="inlineStr">
        <is>
          <t>Private use - family travel</t>
        </is>
      </c>
      <c r="F32" s="15" t="inlineStr"/>
      <c r="G32" s="16" t="n">
        <v>20622</v>
      </c>
      <c r="H32" s="16" t="n">
        <v>20672</v>
      </c>
      <c r="I32" s="16">
        <f>H32-G32</f>
        <v/>
      </c>
    </row>
    <row r="33">
      <c r="A33" s="13" t="n">
        <v>7</v>
      </c>
      <c r="B33" s="14" t="n">
        <v>45785</v>
      </c>
      <c r="C33" s="14" t="n">
        <v>45785</v>
      </c>
      <c r="D33" s="13" t="inlineStr">
        <is>
          <t>Private</t>
        </is>
      </c>
      <c r="E33" s="15" t="inlineStr">
        <is>
          <t>Private use - family travel</t>
        </is>
      </c>
      <c r="F33" s="15" t="inlineStr"/>
      <c r="G33" s="16" t="n">
        <v>20672</v>
      </c>
      <c r="H33" s="16" t="n">
        <v>20702</v>
      </c>
      <c r="I33" s="16">
        <f>H33-G33</f>
        <v/>
      </c>
    </row>
    <row r="34">
      <c r="A34" s="13" t="n">
        <v>8</v>
      </c>
      <c r="B34" s="14" t="n">
        <v>45786</v>
      </c>
      <c r="C34" s="14" t="n">
        <v>45786</v>
      </c>
      <c r="D34" s="13" t="inlineStr">
        <is>
          <t>Business</t>
        </is>
      </c>
      <c r="E34" s="15" t="inlineStr">
        <is>
          <t>Multi-drop delivery round</t>
        </is>
      </c>
      <c r="F34" s="15" t="inlineStr">
        <is>
          <t>Sunnybank</t>
        </is>
      </c>
      <c r="G34" s="16" t="n">
        <v>20702</v>
      </c>
      <c r="H34" s="16" t="n">
        <v>20815</v>
      </c>
      <c r="I34" s="16">
        <f>H34-G34</f>
        <v/>
      </c>
    </row>
    <row r="35">
      <c r="A35" s="13" t="n">
        <v>9</v>
      </c>
      <c r="B35" s="14" t="n">
        <v>45786</v>
      </c>
      <c r="C35" s="14" t="n">
        <v>45786</v>
      </c>
      <c r="D35" s="13" t="inlineStr">
        <is>
          <t>Private</t>
        </is>
      </c>
      <c r="E35" s="15" t="inlineStr">
        <is>
          <t>Private use - weekend outing</t>
        </is>
      </c>
      <c r="F35" s="15" t="inlineStr"/>
      <c r="G35" s="16" t="n">
        <v>20815</v>
      </c>
      <c r="H35" s="16" t="n">
        <v>20842</v>
      </c>
      <c r="I35" s="16">
        <f>H35-G35</f>
        <v/>
      </c>
    </row>
    <row r="36">
      <c r="A36" s="13" t="n">
        <v>10</v>
      </c>
      <c r="B36" s="14" t="n">
        <v>45787</v>
      </c>
      <c r="C36" s="14" t="n">
        <v>45787</v>
      </c>
      <c r="D36" s="13" t="inlineStr">
        <is>
          <t>Business</t>
        </is>
      </c>
      <c r="E36" s="15" t="inlineStr">
        <is>
          <t>Rideshare fares - passenger trips</t>
        </is>
      </c>
      <c r="F36" s="15" t="inlineStr">
        <is>
          <t>Logan Central / Chermside</t>
        </is>
      </c>
      <c r="G36" s="16" t="n">
        <v>20842</v>
      </c>
      <c r="H36" s="16" t="n">
        <v>21102</v>
      </c>
      <c r="I36" s="16">
        <f>H36-G36</f>
        <v/>
      </c>
    </row>
    <row r="37">
      <c r="A37" s="13" t="n">
        <v>11</v>
      </c>
      <c r="B37" s="14" t="n">
        <v>45787</v>
      </c>
      <c r="C37" s="14" t="n">
        <v>45787</v>
      </c>
      <c r="D37" s="13" t="inlineStr">
        <is>
          <t>Private</t>
        </is>
      </c>
      <c r="E37" s="15" t="inlineStr">
        <is>
          <t>Private use - personal travel</t>
        </is>
      </c>
      <c r="F37" s="15" t="inlineStr"/>
      <c r="G37" s="16" t="n">
        <v>21102</v>
      </c>
      <c r="H37" s="16" t="n">
        <v>21142</v>
      </c>
      <c r="I37" s="16">
        <f>H37-G37</f>
        <v/>
      </c>
    </row>
    <row r="38">
      <c r="A38" s="13" t="n">
        <v>12</v>
      </c>
      <c r="B38" s="14" t="n">
        <v>45788</v>
      </c>
      <c r="C38" s="14" t="n">
        <v>45788</v>
      </c>
      <c r="D38" s="13" t="inlineStr">
        <is>
          <t>Business</t>
        </is>
      </c>
      <c r="E38" s="15" t="inlineStr">
        <is>
          <t>Grocery delivery run</t>
        </is>
      </c>
      <c r="F38" s="15" t="inlineStr">
        <is>
          <t>Nundah / North Lakes</t>
        </is>
      </c>
      <c r="G38" s="16" t="n">
        <v>21142</v>
      </c>
      <c r="H38" s="16" t="n">
        <v>21382</v>
      </c>
      <c r="I38" s="16">
        <f>H38-G38</f>
        <v/>
      </c>
    </row>
    <row r="39">
      <c r="A39" s="13" t="n">
        <v>13</v>
      </c>
      <c r="B39" s="14" t="n">
        <v>45788</v>
      </c>
      <c r="C39" s="14" t="n">
        <v>45788</v>
      </c>
      <c r="D39" s="13" t="inlineStr">
        <is>
          <t>Private</t>
        </is>
      </c>
      <c r="E39" s="15" t="inlineStr">
        <is>
          <t>Private use - personal travel</t>
        </is>
      </c>
      <c r="F39" s="15" t="inlineStr"/>
      <c r="G39" s="16" t="n">
        <v>21382</v>
      </c>
      <c r="H39" s="16" t="n">
        <v>21421</v>
      </c>
      <c r="I39" s="16">
        <f>H39-G39</f>
        <v/>
      </c>
    </row>
    <row r="40">
      <c r="A40" s="13" t="n">
        <v>14</v>
      </c>
      <c r="B40" s="14" t="n">
        <v>45789</v>
      </c>
      <c r="C40" s="14" t="n">
        <v>45789</v>
      </c>
      <c r="D40" s="13" t="inlineStr">
        <is>
          <t>Private</t>
        </is>
      </c>
      <c r="E40" s="15" t="inlineStr">
        <is>
          <t>Private use - personal travel</t>
        </is>
      </c>
      <c r="F40" s="15" t="inlineStr"/>
      <c r="G40" s="16" t="n">
        <v>21421</v>
      </c>
      <c r="H40" s="16" t="n">
        <v>21454</v>
      </c>
      <c r="I40" s="16">
        <f>H40-G40</f>
        <v/>
      </c>
    </row>
    <row r="41">
      <c r="A41" s="13" t="n">
        <v>15</v>
      </c>
      <c r="B41" s="14" t="n">
        <v>45790</v>
      </c>
      <c r="C41" s="14" t="n">
        <v>45790</v>
      </c>
      <c r="D41" s="13" t="inlineStr">
        <is>
          <t>Private</t>
        </is>
      </c>
      <c r="E41" s="15" t="inlineStr">
        <is>
          <t>Private use - visiting friends</t>
        </is>
      </c>
      <c r="F41" s="15" t="inlineStr"/>
      <c r="G41" s="16" t="n">
        <v>21454</v>
      </c>
      <c r="H41" s="16" t="n">
        <v>21526</v>
      </c>
      <c r="I41" s="16">
        <f>H41-G41</f>
        <v/>
      </c>
    </row>
    <row r="42">
      <c r="A42" s="13" t="n">
        <v>16</v>
      </c>
      <c r="B42" s="14" t="n">
        <v>45791</v>
      </c>
      <c r="C42" s="14" t="n">
        <v>45791</v>
      </c>
      <c r="D42" s="13" t="inlineStr">
        <is>
          <t>Private</t>
        </is>
      </c>
      <c r="E42" s="15" t="inlineStr">
        <is>
          <t>Private use - personal errands</t>
        </is>
      </c>
      <c r="F42" s="15" t="inlineStr"/>
      <c r="G42" s="16" t="n">
        <v>21526</v>
      </c>
      <c r="H42" s="16" t="n">
        <v>21599</v>
      </c>
      <c r="I42" s="16">
        <f>H42-G42</f>
        <v/>
      </c>
    </row>
    <row r="43">
      <c r="A43" s="13" t="n">
        <v>17</v>
      </c>
      <c r="B43" s="14" t="n">
        <v>45792</v>
      </c>
      <c r="C43" s="14" t="n">
        <v>45792</v>
      </c>
      <c r="D43" s="13" t="inlineStr">
        <is>
          <t>Private</t>
        </is>
      </c>
      <c r="E43" s="15" t="inlineStr">
        <is>
          <t>Private use - family travel</t>
        </is>
      </c>
      <c r="F43" s="15" t="inlineStr"/>
      <c r="G43" s="16" t="n">
        <v>21599</v>
      </c>
      <c r="H43" s="16" t="n">
        <v>21655</v>
      </c>
      <c r="I43" s="16">
        <f>H43-G43</f>
        <v/>
      </c>
    </row>
    <row r="44">
      <c r="A44" s="13" t="n">
        <v>18</v>
      </c>
      <c r="B44" s="14" t="n">
        <v>45793</v>
      </c>
      <c r="C44" s="14" t="n">
        <v>45793</v>
      </c>
      <c r="D44" s="13" t="inlineStr">
        <is>
          <t>Business</t>
        </is>
      </c>
      <c r="E44" s="15" t="inlineStr">
        <is>
          <t>Rideshare fares - suburban runs</t>
        </is>
      </c>
      <c r="F44" s="15" t="inlineStr">
        <is>
          <t>Chermside</t>
        </is>
      </c>
      <c r="G44" s="16" t="n">
        <v>21655</v>
      </c>
      <c r="H44" s="16" t="n">
        <v>21829</v>
      </c>
      <c r="I44" s="16">
        <f>H44-G44</f>
        <v/>
      </c>
    </row>
    <row r="45">
      <c r="A45" s="13" t="n">
        <v>19</v>
      </c>
      <c r="B45" s="14" t="n">
        <v>45794</v>
      </c>
      <c r="C45" s="14" t="n">
        <v>45794</v>
      </c>
      <c r="D45" s="13" t="inlineStr">
        <is>
          <t>Private</t>
        </is>
      </c>
      <c r="E45" s="15" t="inlineStr">
        <is>
          <t>Private use - visiting friends</t>
        </is>
      </c>
      <c r="F45" s="15" t="inlineStr"/>
      <c r="G45" s="16" t="n">
        <v>21829</v>
      </c>
      <c r="H45" s="16" t="n">
        <v>21870</v>
      </c>
      <c r="I45" s="16">
        <f>H45-G45</f>
        <v/>
      </c>
    </row>
    <row r="46">
      <c r="A46" s="13" t="n">
        <v>20</v>
      </c>
      <c r="B46" s="14" t="n">
        <v>45795</v>
      </c>
      <c r="C46" s="14" t="n">
        <v>45795</v>
      </c>
      <c r="D46" s="13" t="inlineStr">
        <is>
          <t>Business</t>
        </is>
      </c>
      <c r="E46" s="15" t="inlineStr">
        <is>
          <t>Food delivery - dinner peak</t>
        </is>
      </c>
      <c r="F46" s="15" t="inlineStr">
        <is>
          <t>Mount Gravatt</t>
        </is>
      </c>
      <c r="G46" s="16" t="n">
        <v>21870</v>
      </c>
      <c r="H46" s="16" t="n">
        <v>22011</v>
      </c>
      <c r="I46" s="16">
        <f>H46-G46</f>
        <v/>
      </c>
    </row>
    <row r="47">
      <c r="A47" s="13" t="n">
        <v>21</v>
      </c>
      <c r="B47" s="14" t="n">
        <v>45796</v>
      </c>
      <c r="C47" s="14" t="n">
        <v>45796</v>
      </c>
      <c r="D47" s="13" t="inlineStr">
        <is>
          <t>Private</t>
        </is>
      </c>
      <c r="E47" s="15" t="inlineStr">
        <is>
          <t>Private use - personal errands</t>
        </is>
      </c>
      <c r="F47" s="15" t="inlineStr"/>
      <c r="G47" s="16" t="n">
        <v>22011</v>
      </c>
      <c r="H47" s="16" t="n">
        <v>22081</v>
      </c>
      <c r="I47" s="16">
        <f>H47-G47</f>
        <v/>
      </c>
    </row>
    <row r="48">
      <c r="A48" s="13" t="n">
        <v>22</v>
      </c>
      <c r="B48" s="14" t="n">
        <v>45797</v>
      </c>
      <c r="C48" s="14" t="n">
        <v>45797</v>
      </c>
      <c r="D48" s="13" t="inlineStr">
        <is>
          <t>Private</t>
        </is>
      </c>
      <c r="E48" s="15" t="inlineStr">
        <is>
          <t>Private use - visiting friends</t>
        </is>
      </c>
      <c r="F48" s="15" t="inlineStr"/>
      <c r="G48" s="16" t="n">
        <v>22081</v>
      </c>
      <c r="H48" s="16" t="n">
        <v>22139</v>
      </c>
      <c r="I48" s="16">
        <f>H48-G48</f>
        <v/>
      </c>
    </row>
    <row r="49">
      <c r="A49" s="13" t="n">
        <v>23</v>
      </c>
      <c r="B49" s="14" t="n">
        <v>45800</v>
      </c>
      <c r="C49" s="14" t="n">
        <v>45800</v>
      </c>
      <c r="D49" s="13" t="inlineStr">
        <is>
          <t>Private</t>
        </is>
      </c>
      <c r="E49" s="15" t="inlineStr">
        <is>
          <t>Private use - shopping trip</t>
        </is>
      </c>
      <c r="F49" s="15" t="inlineStr"/>
      <c r="G49" s="16" t="n">
        <v>22139</v>
      </c>
      <c r="H49" s="16" t="n">
        <v>22190</v>
      </c>
      <c r="I49" s="16">
        <f>H49-G49</f>
        <v/>
      </c>
    </row>
    <row r="50">
      <c r="A50" s="13" t="n">
        <v>24</v>
      </c>
      <c r="B50" s="14" t="n">
        <v>45801</v>
      </c>
      <c r="C50" s="14" t="n">
        <v>45801</v>
      </c>
      <c r="D50" s="13" t="inlineStr">
        <is>
          <t>Business</t>
        </is>
      </c>
      <c r="E50" s="15" t="inlineStr">
        <is>
          <t>Rideshare fares - suburban runs</t>
        </is>
      </c>
      <c r="F50" s="15" t="inlineStr">
        <is>
          <t>Newstead / Brisbane CBD</t>
        </is>
      </c>
      <c r="G50" s="16" t="n">
        <v>22190</v>
      </c>
      <c r="H50" s="16" t="n">
        <v>22478</v>
      </c>
      <c r="I50" s="16">
        <f>H50-G50</f>
        <v/>
      </c>
    </row>
    <row r="51">
      <c r="A51" s="13" t="n">
        <v>25</v>
      </c>
      <c r="B51" s="14" t="n">
        <v>45801</v>
      </c>
      <c r="C51" s="14" t="n">
        <v>45801</v>
      </c>
      <c r="D51" s="13" t="inlineStr">
        <is>
          <t>Private</t>
        </is>
      </c>
      <c r="E51" s="15" t="inlineStr">
        <is>
          <t>Private use - personal travel</t>
        </is>
      </c>
      <c r="F51" s="15" t="inlineStr"/>
      <c r="G51" s="16" t="n">
        <v>22478</v>
      </c>
      <c r="H51" s="16" t="n">
        <v>22521</v>
      </c>
      <c r="I51" s="16">
        <f>H51-G51</f>
        <v/>
      </c>
    </row>
    <row r="52">
      <c r="A52" s="13" t="n">
        <v>26</v>
      </c>
      <c r="B52" s="14" t="n">
        <v>45802</v>
      </c>
      <c r="C52" s="14" t="n">
        <v>45802</v>
      </c>
      <c r="D52" s="13" t="inlineStr">
        <is>
          <t>Business</t>
        </is>
      </c>
      <c r="E52" s="15" t="inlineStr">
        <is>
          <t>Parcel delivery run</t>
        </is>
      </c>
      <c r="F52" s="15" t="inlineStr">
        <is>
          <t>Toowong</t>
        </is>
      </c>
      <c r="G52" s="16" t="n">
        <v>22521</v>
      </c>
      <c r="H52" s="16" t="n">
        <v>22695</v>
      </c>
      <c r="I52" s="16">
        <f>H52-G52</f>
        <v/>
      </c>
    </row>
    <row r="53">
      <c r="A53" s="13" t="n">
        <v>27</v>
      </c>
      <c r="B53" s="14" t="n">
        <v>45803</v>
      </c>
      <c r="C53" s="14" t="n">
        <v>45803</v>
      </c>
      <c r="D53" s="13" t="inlineStr">
        <is>
          <t>Private</t>
        </is>
      </c>
      <c r="E53" s="15" t="inlineStr">
        <is>
          <t>Private use - family travel</t>
        </is>
      </c>
      <c r="F53" s="15" t="inlineStr"/>
      <c r="G53" s="16" t="n">
        <v>22695</v>
      </c>
      <c r="H53" s="16" t="n">
        <v>22732</v>
      </c>
      <c r="I53" s="16">
        <f>H53-G53</f>
        <v/>
      </c>
    </row>
    <row r="54">
      <c r="A54" s="13" t="n">
        <v>28</v>
      </c>
      <c r="B54" s="14" t="n">
        <v>45804</v>
      </c>
      <c r="C54" s="14" t="n">
        <v>45804</v>
      </c>
      <c r="D54" s="13" t="inlineStr">
        <is>
          <t>Private</t>
        </is>
      </c>
      <c r="E54" s="15" t="inlineStr">
        <is>
          <t>Private use - personal errands</t>
        </is>
      </c>
      <c r="F54" s="15" t="inlineStr"/>
      <c r="G54" s="16" t="n">
        <v>22732</v>
      </c>
      <c r="H54" s="16" t="n">
        <v>22768</v>
      </c>
      <c r="I54" s="16">
        <f>H54-G54</f>
        <v/>
      </c>
    </row>
    <row r="55">
      <c r="A55" s="13" t="n">
        <v>29</v>
      </c>
      <c r="B55" s="14" t="n">
        <v>45805</v>
      </c>
      <c r="C55" s="14" t="n">
        <v>45805</v>
      </c>
      <c r="D55" s="13" t="inlineStr">
        <is>
          <t>Private</t>
        </is>
      </c>
      <c r="E55" s="15" t="inlineStr">
        <is>
          <t>Private use - personal travel</t>
        </is>
      </c>
      <c r="F55" s="15" t="inlineStr"/>
      <c r="G55" s="16" t="n">
        <v>22768</v>
      </c>
      <c r="H55" s="16" t="n">
        <v>22813</v>
      </c>
      <c r="I55" s="16">
        <f>H55-G55</f>
        <v/>
      </c>
    </row>
    <row r="56">
      <c r="A56" s="13" t="n">
        <v>30</v>
      </c>
      <c r="B56" s="14" t="n">
        <v>45806</v>
      </c>
      <c r="C56" s="14" t="n">
        <v>45806</v>
      </c>
      <c r="D56" s="13" t="inlineStr">
        <is>
          <t>Private</t>
        </is>
      </c>
      <c r="E56" s="15" t="inlineStr">
        <is>
          <t>Private use - weekend outing</t>
        </is>
      </c>
      <c r="F56" s="15" t="inlineStr"/>
      <c r="G56" s="16" t="n">
        <v>22813</v>
      </c>
      <c r="H56" s="16" t="n">
        <v>22886</v>
      </c>
      <c r="I56" s="16">
        <f>H56-G56</f>
        <v/>
      </c>
    </row>
    <row r="57">
      <c r="A57" s="13" t="n">
        <v>31</v>
      </c>
      <c r="B57" s="14" t="n">
        <v>45807</v>
      </c>
      <c r="C57" s="14" t="n">
        <v>45807</v>
      </c>
      <c r="D57" s="13" t="inlineStr">
        <is>
          <t>Private</t>
        </is>
      </c>
      <c r="E57" s="15" t="inlineStr">
        <is>
          <t>Private use - family travel</t>
        </is>
      </c>
      <c r="F57" s="15" t="inlineStr"/>
      <c r="G57" s="16" t="n">
        <v>22886</v>
      </c>
      <c r="H57" s="16" t="n">
        <v>22947</v>
      </c>
      <c r="I57" s="16">
        <f>H57-G57</f>
        <v/>
      </c>
    </row>
    <row r="58">
      <c r="A58" s="13" t="n">
        <v>32</v>
      </c>
      <c r="B58" s="14" t="n">
        <v>45808</v>
      </c>
      <c r="C58" s="14" t="n">
        <v>45808</v>
      </c>
      <c r="D58" s="13" t="inlineStr">
        <is>
          <t>Business</t>
        </is>
      </c>
      <c r="E58" s="15" t="inlineStr">
        <is>
          <t>Courier pickups and drop-offs</t>
        </is>
      </c>
      <c r="F58" s="15" t="inlineStr">
        <is>
          <t>Carindale</t>
        </is>
      </c>
      <c r="G58" s="16" t="n">
        <v>22947</v>
      </c>
      <c r="H58" s="16" t="n">
        <v>23076</v>
      </c>
      <c r="I58" s="16">
        <f>H58-G58</f>
        <v/>
      </c>
    </row>
    <row r="59">
      <c r="A59" s="13" t="n">
        <v>33</v>
      </c>
      <c r="B59" s="14" t="n">
        <v>45808</v>
      </c>
      <c r="C59" s="14" t="n">
        <v>45808</v>
      </c>
      <c r="D59" s="13" t="inlineStr">
        <is>
          <t>Private</t>
        </is>
      </c>
      <c r="E59" s="15" t="inlineStr">
        <is>
          <t>Private use - weekend outing</t>
        </is>
      </c>
      <c r="F59" s="15" t="inlineStr"/>
      <c r="G59" s="16" t="n">
        <v>23076</v>
      </c>
      <c r="H59" s="16" t="n">
        <v>23103</v>
      </c>
      <c r="I59" s="16">
        <f>H59-G59</f>
        <v/>
      </c>
    </row>
    <row r="60">
      <c r="A60" s="13" t="n">
        <v>34</v>
      </c>
      <c r="B60" s="14" t="n">
        <v>45811</v>
      </c>
      <c r="C60" s="14" t="n">
        <v>45811</v>
      </c>
      <c r="D60" s="13" t="inlineStr">
        <is>
          <t>Private</t>
        </is>
      </c>
      <c r="E60" s="15" t="inlineStr">
        <is>
          <t>Private use - personal travel</t>
        </is>
      </c>
      <c r="F60" s="15" t="inlineStr"/>
      <c r="G60" s="16" t="n">
        <v>23103</v>
      </c>
      <c r="H60" s="16" t="n">
        <v>23171</v>
      </c>
      <c r="I60" s="16">
        <f>H60-G60</f>
        <v/>
      </c>
    </row>
    <row r="61">
      <c r="A61" s="13" t="n">
        <v>35</v>
      </c>
      <c r="B61" s="14" t="n">
        <v>45812</v>
      </c>
      <c r="C61" s="14" t="n">
        <v>45812</v>
      </c>
      <c r="D61" s="13" t="inlineStr">
        <is>
          <t>Private</t>
        </is>
      </c>
      <c r="E61" s="15" t="inlineStr">
        <is>
          <t>Private use - weekend outing</t>
        </is>
      </c>
      <c r="F61" s="15" t="inlineStr"/>
      <c r="G61" s="16" t="n">
        <v>23171</v>
      </c>
      <c r="H61" s="16" t="n">
        <v>23242</v>
      </c>
      <c r="I61" s="16">
        <f>H61-G61</f>
        <v/>
      </c>
    </row>
    <row r="62">
      <c r="A62" s="13" t="n">
        <v>36</v>
      </c>
      <c r="B62" s="14" t="n">
        <v>45813</v>
      </c>
      <c r="C62" s="14" t="n">
        <v>45813</v>
      </c>
      <c r="D62" s="13" t="inlineStr">
        <is>
          <t>Private</t>
        </is>
      </c>
      <c r="E62" s="15" t="inlineStr">
        <is>
          <t>Private use - family travel</t>
        </is>
      </c>
      <c r="F62" s="15" t="inlineStr"/>
      <c r="G62" s="16" t="n">
        <v>23242</v>
      </c>
      <c r="H62" s="16" t="n">
        <v>23315</v>
      </c>
      <c r="I62" s="16">
        <f>H62-G62</f>
        <v/>
      </c>
    </row>
    <row r="63">
      <c r="A63" s="13" t="n">
        <v>37</v>
      </c>
      <c r="B63" s="14" t="n">
        <v>45814</v>
      </c>
      <c r="C63" s="14" t="n">
        <v>45814</v>
      </c>
      <c r="D63" s="13" t="inlineStr">
        <is>
          <t>Business</t>
        </is>
      </c>
      <c r="E63" s="15" t="inlineStr">
        <is>
          <t>Rideshare fares - suburban runs</t>
        </is>
      </c>
      <c r="F63" s="15" t="inlineStr">
        <is>
          <t>Logan Central / Newstead</t>
        </is>
      </c>
      <c r="G63" s="16" t="n">
        <v>23315</v>
      </c>
      <c r="H63" s="16" t="n">
        <v>23557</v>
      </c>
      <c r="I63" s="16">
        <f>H63-G63</f>
        <v/>
      </c>
    </row>
    <row r="64">
      <c r="A64" s="13" t="n">
        <v>38</v>
      </c>
      <c r="B64" s="14" t="n">
        <v>45814</v>
      </c>
      <c r="C64" s="14" t="n">
        <v>45814</v>
      </c>
      <c r="D64" s="13" t="inlineStr">
        <is>
          <t>Private</t>
        </is>
      </c>
      <c r="E64" s="15" t="inlineStr">
        <is>
          <t>Private use - family travel</t>
        </is>
      </c>
      <c r="F64" s="15" t="inlineStr"/>
      <c r="G64" s="16" t="n">
        <v>23557</v>
      </c>
      <c r="H64" s="16" t="n">
        <v>23596</v>
      </c>
      <c r="I64" s="16">
        <f>H64-G64</f>
        <v/>
      </c>
    </row>
    <row r="65">
      <c r="A65" s="13" t="n">
        <v>39</v>
      </c>
      <c r="B65" s="14" t="n">
        <v>45815</v>
      </c>
      <c r="C65" s="14" t="n">
        <v>45815</v>
      </c>
      <c r="D65" s="13" t="inlineStr">
        <is>
          <t>Business</t>
        </is>
      </c>
      <c r="E65" s="15" t="inlineStr">
        <is>
          <t>Grocery delivery run</t>
        </is>
      </c>
      <c r="F65" s="15" t="inlineStr">
        <is>
          <t>Everton Park</t>
        </is>
      </c>
      <c r="G65" s="16" t="n">
        <v>23596</v>
      </c>
      <c r="H65" s="16" t="n">
        <v>23717</v>
      </c>
      <c r="I65" s="16">
        <f>H65-G65</f>
        <v/>
      </c>
    </row>
    <row r="66">
      <c r="A66" s="13" t="n">
        <v>40</v>
      </c>
      <c r="B66" s="14" t="n">
        <v>45815</v>
      </c>
      <c r="C66" s="14" t="n">
        <v>45815</v>
      </c>
      <c r="D66" s="13" t="inlineStr">
        <is>
          <t>Private</t>
        </is>
      </c>
      <c r="E66" s="15" t="inlineStr">
        <is>
          <t>Private use - visiting friends</t>
        </is>
      </c>
      <c r="F66" s="15" t="inlineStr"/>
      <c r="G66" s="16" t="n">
        <v>23717</v>
      </c>
      <c r="H66" s="16" t="n">
        <v>23753</v>
      </c>
      <c r="I66" s="16">
        <f>H66-G66</f>
        <v/>
      </c>
    </row>
    <row r="67">
      <c r="A67" s="13" t="n">
        <v>41</v>
      </c>
      <c r="B67" s="14" t="n">
        <v>45816</v>
      </c>
      <c r="C67" s="14" t="n">
        <v>45816</v>
      </c>
      <c r="D67" s="13" t="inlineStr">
        <is>
          <t>Business</t>
        </is>
      </c>
      <c r="E67" s="15" t="inlineStr">
        <is>
          <t>Parcel delivery run</t>
        </is>
      </c>
      <c r="F67" s="15" t="inlineStr">
        <is>
          <t>North Lakes</t>
        </is>
      </c>
      <c r="G67" s="16" t="n">
        <v>23753</v>
      </c>
      <c r="H67" s="16" t="n">
        <v>23907</v>
      </c>
      <c r="I67" s="16">
        <f>H67-G67</f>
        <v/>
      </c>
    </row>
    <row r="68">
      <c r="A68" s="13" t="n">
        <v>42</v>
      </c>
      <c r="B68" s="14" t="n">
        <v>45816</v>
      </c>
      <c r="C68" s="14" t="n">
        <v>45816</v>
      </c>
      <c r="D68" s="13" t="inlineStr">
        <is>
          <t>Private</t>
        </is>
      </c>
      <c r="E68" s="15" t="inlineStr">
        <is>
          <t>Private use - personal errands</t>
        </is>
      </c>
      <c r="F68" s="15" t="inlineStr"/>
      <c r="G68" s="16" t="n">
        <v>23907</v>
      </c>
      <c r="H68" s="16" t="n">
        <v>23963</v>
      </c>
      <c r="I68" s="16">
        <f>H68-G68</f>
        <v/>
      </c>
    </row>
    <row r="69">
      <c r="A69" s="13" t="n">
        <v>43</v>
      </c>
      <c r="B69" s="14" t="n">
        <v>45818</v>
      </c>
      <c r="C69" s="14" t="n">
        <v>45818</v>
      </c>
      <c r="D69" s="13" t="inlineStr">
        <is>
          <t>Private</t>
        </is>
      </c>
      <c r="E69" s="15" t="inlineStr">
        <is>
          <t>Private use - weekend outing</t>
        </is>
      </c>
      <c r="F69" s="15" t="inlineStr"/>
      <c r="G69" s="16" t="n">
        <v>23963</v>
      </c>
      <c r="H69" s="16" t="n">
        <v>24003</v>
      </c>
      <c r="I69" s="16">
        <f>H69-G69</f>
        <v/>
      </c>
    </row>
    <row r="70">
      <c r="A70" s="13" t="n">
        <v>44</v>
      </c>
      <c r="B70" s="14" t="n">
        <v>45821</v>
      </c>
      <c r="C70" s="14" t="n">
        <v>45821</v>
      </c>
      <c r="D70" s="13" t="inlineStr">
        <is>
          <t>Business</t>
        </is>
      </c>
      <c r="E70" s="15" t="inlineStr">
        <is>
          <t>Rideshare fares - evening shift</t>
        </is>
      </c>
      <c r="F70" s="15" t="inlineStr">
        <is>
          <t>Brisbane Airport</t>
        </is>
      </c>
      <c r="G70" s="16" t="n">
        <v>24003</v>
      </c>
      <c r="H70" s="16" t="n">
        <v>24169</v>
      </c>
      <c r="I70" s="16">
        <f>H70-G70</f>
        <v/>
      </c>
    </row>
    <row r="71">
      <c r="A71" s="13" t="n">
        <v>45</v>
      </c>
      <c r="B71" s="14" t="n">
        <v>45821</v>
      </c>
      <c r="C71" s="14" t="n">
        <v>45821</v>
      </c>
      <c r="D71" s="13" t="inlineStr">
        <is>
          <t>Private</t>
        </is>
      </c>
      <c r="E71" s="15" t="inlineStr">
        <is>
          <t>Private use - visiting friends</t>
        </is>
      </c>
      <c r="F71" s="15" t="inlineStr"/>
      <c r="G71" s="16" t="n">
        <v>24169</v>
      </c>
      <c r="H71" s="16" t="n">
        <v>24202</v>
      </c>
      <c r="I71" s="16">
        <f>H71-G71</f>
        <v/>
      </c>
    </row>
    <row r="72">
      <c r="A72" s="13" t="n">
        <v>46</v>
      </c>
      <c r="B72" s="14" t="n">
        <v>45822</v>
      </c>
      <c r="C72" s="14" t="n">
        <v>45822</v>
      </c>
      <c r="D72" s="13" t="inlineStr">
        <is>
          <t>Business</t>
        </is>
      </c>
      <c r="E72" s="15" t="inlineStr">
        <is>
          <t>Grocery delivery run</t>
        </is>
      </c>
      <c r="F72" s="15" t="inlineStr">
        <is>
          <t>Carindale</t>
        </is>
      </c>
      <c r="G72" s="16" t="n">
        <v>24202</v>
      </c>
      <c r="H72" s="16" t="n">
        <v>24329</v>
      </c>
      <c r="I72" s="16">
        <f>H72-G72</f>
        <v/>
      </c>
    </row>
    <row r="73">
      <c r="A73" s="13" t="n">
        <v>47</v>
      </c>
      <c r="B73" s="14" t="n">
        <v>45823</v>
      </c>
      <c r="C73" s="14" t="n">
        <v>45823</v>
      </c>
      <c r="D73" s="13" t="inlineStr">
        <is>
          <t>Business</t>
        </is>
      </c>
      <c r="E73" s="15" t="inlineStr">
        <is>
          <t>Rideshare fares - passenger trips</t>
        </is>
      </c>
      <c r="F73" s="15" t="inlineStr">
        <is>
          <t>Hamilton</t>
        </is>
      </c>
      <c r="G73" s="16" t="n">
        <v>24329</v>
      </c>
      <c r="H73" s="16" t="n">
        <v>24484</v>
      </c>
      <c r="I73" s="16">
        <f>H73-G73</f>
        <v/>
      </c>
    </row>
    <row r="74">
      <c r="A74" s="13" t="n">
        <v>48</v>
      </c>
      <c r="B74" s="14" t="n">
        <v>45824</v>
      </c>
      <c r="C74" s="14" t="n">
        <v>45824</v>
      </c>
      <c r="D74" s="13" t="inlineStr">
        <is>
          <t>Private</t>
        </is>
      </c>
      <c r="E74" s="15" t="inlineStr">
        <is>
          <t>Private use - family travel</t>
        </is>
      </c>
      <c r="F74" s="15" t="inlineStr"/>
      <c r="G74" s="16" t="n">
        <v>24484</v>
      </c>
      <c r="H74" s="16" t="n">
        <v>24526</v>
      </c>
      <c r="I74" s="16">
        <f>H74-G74</f>
        <v/>
      </c>
    </row>
    <row r="75">
      <c r="A75" s="13" t="n">
        <v>49</v>
      </c>
      <c r="B75" s="14" t="n">
        <v>45825</v>
      </c>
      <c r="C75" s="14" t="n">
        <v>45825</v>
      </c>
      <c r="D75" s="13" t="inlineStr">
        <is>
          <t>Private</t>
        </is>
      </c>
      <c r="E75" s="15" t="inlineStr">
        <is>
          <t>Private use - family travel</t>
        </is>
      </c>
      <c r="F75" s="15" t="inlineStr"/>
      <c r="G75" s="16" t="n">
        <v>24526</v>
      </c>
      <c r="H75" s="16" t="n">
        <v>24561</v>
      </c>
      <c r="I75" s="16">
        <f>H75-G75</f>
        <v/>
      </c>
    </row>
    <row r="76">
      <c r="A76" s="13" t="n">
        <v>50</v>
      </c>
      <c r="B76" s="14" t="n">
        <v>45828</v>
      </c>
      <c r="C76" s="14" t="n">
        <v>45828</v>
      </c>
      <c r="D76" s="13" t="inlineStr">
        <is>
          <t>Business</t>
        </is>
      </c>
      <c r="E76" s="15" t="inlineStr">
        <is>
          <t>Multi-drop delivery round</t>
        </is>
      </c>
      <c r="F76" s="15" t="inlineStr">
        <is>
          <t>Aspley</t>
        </is>
      </c>
      <c r="G76" s="16" t="n">
        <v>24561</v>
      </c>
      <c r="H76" s="16" t="n">
        <v>24692</v>
      </c>
      <c r="I76" s="16">
        <f>H76-G76</f>
        <v/>
      </c>
    </row>
    <row r="77">
      <c r="A77" s="13" t="n">
        <v>51</v>
      </c>
      <c r="B77" s="14" t="n">
        <v>45829</v>
      </c>
      <c r="C77" s="14" t="n">
        <v>45829</v>
      </c>
      <c r="D77" s="13" t="inlineStr">
        <is>
          <t>Business</t>
        </is>
      </c>
      <c r="E77" s="15" t="inlineStr">
        <is>
          <t>Rideshare fares - weekend shift</t>
        </is>
      </c>
      <c r="F77" s="15" t="inlineStr">
        <is>
          <t>Chermside</t>
        </is>
      </c>
      <c r="G77" s="16" t="n">
        <v>24692</v>
      </c>
      <c r="H77" s="16" t="n">
        <v>24856</v>
      </c>
      <c r="I77" s="16">
        <f>H77-G77</f>
        <v/>
      </c>
    </row>
    <row r="78">
      <c r="A78" s="13" t="n">
        <v>52</v>
      </c>
      <c r="B78" s="14" t="n">
        <v>45829</v>
      </c>
      <c r="C78" s="14" t="n">
        <v>45829</v>
      </c>
      <c r="D78" s="13" t="inlineStr">
        <is>
          <t>Private</t>
        </is>
      </c>
      <c r="E78" s="15" t="inlineStr">
        <is>
          <t>Private use - personal errands</t>
        </is>
      </c>
      <c r="F78" s="15" t="inlineStr"/>
      <c r="G78" s="16" t="n">
        <v>24856</v>
      </c>
      <c r="H78" s="16" t="n">
        <v>24887</v>
      </c>
      <c r="I78" s="16">
        <f>H78-G78</f>
        <v/>
      </c>
    </row>
    <row r="79">
      <c r="A79" s="13" t="n">
        <v>53</v>
      </c>
      <c r="B79" s="14" t="n">
        <v>45830</v>
      </c>
      <c r="C79" s="14" t="n">
        <v>45830</v>
      </c>
      <c r="D79" s="13" t="inlineStr">
        <is>
          <t>Business</t>
        </is>
      </c>
      <c r="E79" s="15" t="inlineStr">
        <is>
          <t>Parcel delivery run</t>
        </is>
      </c>
      <c r="F79" s="15" t="inlineStr">
        <is>
          <t>Toowong / Sunnybank</t>
        </is>
      </c>
      <c r="G79" s="16" t="n">
        <v>24887</v>
      </c>
      <c r="H79" s="16" t="n">
        <v>25116</v>
      </c>
      <c r="I79" s="16">
        <f>H79-G79</f>
        <v/>
      </c>
    </row>
    <row r="80">
      <c r="A80" s="13" t="n">
        <v>54</v>
      </c>
      <c r="B80" s="14" t="n">
        <v>45830</v>
      </c>
      <c r="C80" s="14" t="n">
        <v>45830</v>
      </c>
      <c r="D80" s="13" t="inlineStr">
        <is>
          <t>Private</t>
        </is>
      </c>
      <c r="E80" s="15" t="inlineStr">
        <is>
          <t>Private use - visiting friends</t>
        </is>
      </c>
      <c r="F80" s="15" t="inlineStr"/>
      <c r="G80" s="16" t="n">
        <v>25116</v>
      </c>
      <c r="H80" s="16" t="n">
        <v>25156</v>
      </c>
      <c r="I80" s="16">
        <f>H80-G80</f>
        <v/>
      </c>
    </row>
    <row r="81">
      <c r="A81" s="13" t="n">
        <v>55</v>
      </c>
      <c r="B81" s="14" t="n">
        <v>45831</v>
      </c>
      <c r="C81" s="14" t="n">
        <v>45831</v>
      </c>
      <c r="D81" s="13" t="inlineStr">
        <is>
          <t>Private</t>
        </is>
      </c>
      <c r="E81" s="15" t="inlineStr">
        <is>
          <t>Private use - personal errands</t>
        </is>
      </c>
      <c r="F81" s="15" t="inlineStr"/>
      <c r="G81" s="16" t="n">
        <v>25156</v>
      </c>
      <c r="H81" s="16" t="n">
        <v>25223</v>
      </c>
      <c r="I81" s="16">
        <f>H81-G81</f>
        <v/>
      </c>
    </row>
    <row r="82">
      <c r="A82" s="13" t="n">
        <v>56</v>
      </c>
      <c r="B82" s="14" t="n">
        <v>45833</v>
      </c>
      <c r="C82" s="14" t="n">
        <v>45833</v>
      </c>
      <c r="D82" s="13" t="inlineStr">
        <is>
          <t>Private</t>
        </is>
      </c>
      <c r="E82" s="15" t="inlineStr">
        <is>
          <t>Private use - weekend outing</t>
        </is>
      </c>
      <c r="F82" s="15" t="inlineStr"/>
      <c r="G82" s="16" t="n">
        <v>25223</v>
      </c>
      <c r="H82" s="16" t="n">
        <v>25295</v>
      </c>
      <c r="I82" s="16">
        <f>H82-G82</f>
        <v/>
      </c>
    </row>
    <row r="83">
      <c r="A83" s="13" t="n">
        <v>57</v>
      </c>
      <c r="B83" s="14" t="n">
        <v>45834</v>
      </c>
      <c r="C83" s="14" t="n">
        <v>45834</v>
      </c>
      <c r="D83" s="13" t="inlineStr">
        <is>
          <t>Private</t>
        </is>
      </c>
      <c r="E83" s="15" t="inlineStr">
        <is>
          <t>Private use - shopping trip</t>
        </is>
      </c>
      <c r="F83" s="15" t="inlineStr"/>
      <c r="G83" s="16" t="n">
        <v>25295</v>
      </c>
      <c r="H83" s="16" t="n">
        <v>25344</v>
      </c>
      <c r="I83" s="16">
        <f>H83-G83</f>
        <v/>
      </c>
    </row>
    <row r="84">
      <c r="A84" s="13" t="n">
        <v>58</v>
      </c>
      <c r="B84" s="14" t="n">
        <v>45835</v>
      </c>
      <c r="C84" s="14" t="n">
        <v>45835</v>
      </c>
      <c r="D84" s="13" t="inlineStr">
        <is>
          <t>Business</t>
        </is>
      </c>
      <c r="E84" s="15" t="inlineStr">
        <is>
          <t>Rideshare fares - airport transfers</t>
        </is>
      </c>
      <c r="F84" s="15" t="inlineStr">
        <is>
          <t>Fortitude Valley</t>
        </is>
      </c>
      <c r="G84" s="16" t="n">
        <v>25344</v>
      </c>
      <c r="H84" s="16" t="n">
        <v>25524</v>
      </c>
      <c r="I84" s="16">
        <f>H84-G84</f>
        <v/>
      </c>
    </row>
    <row r="85">
      <c r="A85" s="13" t="n">
        <v>59</v>
      </c>
      <c r="B85" s="14" t="n">
        <v>45835</v>
      </c>
      <c r="C85" s="14" t="n">
        <v>45835</v>
      </c>
      <c r="D85" s="13" t="inlineStr">
        <is>
          <t>Private</t>
        </is>
      </c>
      <c r="E85" s="15" t="inlineStr">
        <is>
          <t>Private use - visiting friends</t>
        </is>
      </c>
      <c r="F85" s="15" t="inlineStr"/>
      <c r="G85" s="16" t="n">
        <v>25524</v>
      </c>
      <c r="H85" s="16" t="n">
        <v>25563</v>
      </c>
      <c r="I85" s="16">
        <f>H85-G85</f>
        <v/>
      </c>
    </row>
    <row r="86">
      <c r="A86" s="13" t="n">
        <v>60</v>
      </c>
      <c r="B86" s="14" t="n">
        <v>45836</v>
      </c>
      <c r="C86" s="14" t="n">
        <v>45836</v>
      </c>
      <c r="D86" s="13" t="inlineStr">
        <is>
          <t>Business</t>
        </is>
      </c>
      <c r="E86" s="15" t="inlineStr">
        <is>
          <t>Courier pickups and drop-offs</t>
        </is>
      </c>
      <c r="F86" s="15" t="inlineStr">
        <is>
          <t>Sunnybank</t>
        </is>
      </c>
      <c r="G86" s="16" t="n">
        <v>25563</v>
      </c>
      <c r="H86" s="16" t="n">
        <v>25743</v>
      </c>
      <c r="I86" s="16">
        <f>H86-G86</f>
        <v/>
      </c>
    </row>
    <row r="87">
      <c r="A87" s="13" t="n">
        <v>61</v>
      </c>
      <c r="B87" s="14" t="n">
        <v>45837</v>
      </c>
      <c r="C87" s="14" t="n">
        <v>45837</v>
      </c>
      <c r="D87" s="13" t="inlineStr">
        <is>
          <t>Business</t>
        </is>
      </c>
      <c r="E87" s="15" t="inlineStr">
        <is>
          <t>Rideshare fares - late night runs</t>
        </is>
      </c>
      <c r="F87" s="15" t="inlineStr">
        <is>
          <t>South Bank</t>
        </is>
      </c>
      <c r="G87" s="16" t="n">
        <v>25743</v>
      </c>
      <c r="H87" s="16" t="n">
        <v>25894</v>
      </c>
      <c r="I87" s="16">
        <f>H87-G87</f>
        <v/>
      </c>
    </row>
    <row r="88">
      <c r="A88" s="13" t="n">
        <v>62</v>
      </c>
      <c r="B88" s="14" t="n">
        <v>45838</v>
      </c>
      <c r="C88" s="14" t="n">
        <v>45838</v>
      </c>
      <c r="D88" s="13" t="inlineStr">
        <is>
          <t>Private</t>
        </is>
      </c>
      <c r="E88" s="15" t="inlineStr">
        <is>
          <t>Private use - weekend outing</t>
        </is>
      </c>
      <c r="F88" s="15" t="inlineStr"/>
      <c r="G88" s="16" t="n">
        <v>25894</v>
      </c>
      <c r="H88" s="16" t="n">
        <v>25954</v>
      </c>
      <c r="I88" s="16">
        <f>H88-G88</f>
        <v/>
      </c>
    </row>
    <row r="89">
      <c r="A89" s="17" t="inlineStr">
        <is>
          <t>Total</t>
        </is>
      </c>
      <c r="B89" s="15" t="n"/>
      <c r="C89" s="15" t="n"/>
      <c r="D89" s="15" t="n"/>
      <c r="E89" s="15" t="n"/>
      <c r="F89" s="18" t="inlineStr">
        <is>
          <t>Total kilometres</t>
        </is>
      </c>
      <c r="G89" s="15" t="n"/>
      <c r="H89" s="15" t="n"/>
      <c r="I89" s="19">
        <f>SUM(I27:I88)</f>
        <v/>
      </c>
    </row>
    <row r="90">
      <c r="F90" s="18" t="inlineStr">
        <is>
          <t>Business kilometres</t>
        </is>
      </c>
      <c r="I90" s="19">
        <f>SUMIF($D$27:$D$88,"Business",$I$27:$I$88)</f>
        <v/>
      </c>
    </row>
    <row r="91">
      <c r="F91" s="18" t="inlineStr">
        <is>
          <t>Private kilometres</t>
        </is>
      </c>
      <c r="I91" s="19">
        <f>SUMIF($D$27:$D$88,"Private",$I$27:$I$88)</f>
        <v/>
      </c>
    </row>
    <row r="92">
      <c r="F92" s="18" t="inlineStr">
        <is>
          <t>Business-use percentage</t>
        </is>
      </c>
      <c r="I92" s="20">
        <f>IFERROR(I90/I89,0)</f>
        <v/>
      </c>
    </row>
    <row r="95">
      <c r="A95" s="3" t="inlineStr">
        <is>
          <t>Odometer readings for each income year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30" customHeight="1">
      <c r="B96" s="12" t="inlineStr">
        <is>
          <t>Income year</t>
        </is>
      </c>
      <c r="C96" s="12" t="inlineStr">
        <is>
          <t>Odometer at start of year</t>
        </is>
      </c>
      <c r="D96" s="12" t="inlineStr">
        <is>
          <t>Odometer at end of year</t>
        </is>
      </c>
      <c r="E96" s="12" t="inlineStr">
        <is>
          <t>Total km for the year</t>
        </is>
      </c>
      <c r="F96" s="12" t="inlineStr">
        <is>
          <t>Business km at the logbook percentage</t>
        </is>
      </c>
    </row>
    <row r="97">
      <c r="B97" s="13" t="inlineStr">
        <is>
          <t>2024-25</t>
        </is>
      </c>
      <c r="C97" s="16" t="n"/>
      <c r="D97" s="16" t="n">
        <v>25954</v>
      </c>
      <c r="E97" s="16">
        <f>IF(COUNT(C97:D97)=2,D97-C97,"")</f>
        <v/>
      </c>
      <c r="F97" s="16">
        <f>IF(ISNUMBER(E97),ROUND(E97*$D$23,0),"")</f>
        <v/>
      </c>
    </row>
    <row r="98">
      <c r="B98" s="13" t="inlineStr">
        <is>
          <t>2025-26</t>
        </is>
      </c>
      <c r="C98" s="16" t="n"/>
      <c r="D98" s="16" t="n"/>
      <c r="E98" s="16">
        <f>IF(COUNT(C98:D98)=2,D98-C98,"")</f>
        <v/>
      </c>
      <c r="F98" s="16">
        <f>IF(ISNUMBER(E98),ROUND(E98*$D$23,0),"")</f>
        <v/>
      </c>
    </row>
    <row r="99">
      <c r="B99" s="13" t="inlineStr">
        <is>
          <t>2026-27</t>
        </is>
      </c>
      <c r="C99" s="16" t="n"/>
      <c r="D99" s="16" t="n"/>
      <c r="E99" s="16">
        <f>IF(COUNT(C99:D99)=2,D99-C99,"")</f>
        <v/>
      </c>
      <c r="F99" s="16">
        <f>IF(ISNUMBER(E99),ROUND(E99*$D$23,0),"")</f>
        <v/>
      </c>
    </row>
    <row r="100">
      <c r="B100" s="13" t="inlineStr">
        <is>
          <t>2027-28</t>
        </is>
      </c>
      <c r="C100" s="16" t="n"/>
      <c r="D100" s="16" t="n"/>
      <c r="E100" s="16">
        <f>IF(COUNT(C100:D100)=2,D100-C100,"")</f>
        <v/>
      </c>
      <c r="F100" s="16">
        <f>IF(ISNUMBER(E100),ROUND(E100*$D$23,0),"")</f>
        <v/>
      </c>
    </row>
    <row r="101">
      <c r="B101" s="13" t="inlineStr">
        <is>
          <t>2028-29</t>
        </is>
      </c>
      <c r="C101" s="16" t="n"/>
      <c r="D101" s="16" t="n"/>
      <c r="E101" s="16">
        <f>IF(COUNT(C101:D101)=2,D101-C101,"")</f>
        <v/>
      </c>
      <c r="F101" s="16">
        <f>IF(ISNUMBER(E101),ROUND(E101*$D$23,0),"")</f>
        <v/>
      </c>
    </row>
  </sheetData>
  <mergeCells count="38">
    <mergeCell ref="D13:I13"/>
    <mergeCell ref="D17:I17"/>
    <mergeCell ref="A21:C21"/>
    <mergeCell ref="A12:I12"/>
    <mergeCell ref="D16:I16"/>
    <mergeCell ref="D7:I7"/>
    <mergeCell ref="A95:I95"/>
    <mergeCell ref="A2:I2"/>
    <mergeCell ref="A5:C5"/>
    <mergeCell ref="A23:C23"/>
    <mergeCell ref="A8:C8"/>
    <mergeCell ref="A14:C14"/>
    <mergeCell ref="A22:C22"/>
    <mergeCell ref="D9:I9"/>
    <mergeCell ref="A17:C17"/>
    <mergeCell ref="A4:I4"/>
    <mergeCell ref="A20:C20"/>
    <mergeCell ref="D8:I8"/>
    <mergeCell ref="D15:I15"/>
    <mergeCell ref="A10:C10"/>
    <mergeCell ref="D24:I24"/>
    <mergeCell ref="A13:C13"/>
    <mergeCell ref="A19:I19"/>
    <mergeCell ref="D14:I14"/>
    <mergeCell ref="D5:I5"/>
    <mergeCell ref="D23:I23"/>
    <mergeCell ref="A9:C9"/>
    <mergeCell ref="D20:I20"/>
    <mergeCell ref="A15:C15"/>
    <mergeCell ref="A24:C24"/>
    <mergeCell ref="D10:I10"/>
    <mergeCell ref="D22:I22"/>
    <mergeCell ref="A6:C6"/>
    <mergeCell ref="A1:I1"/>
    <mergeCell ref="D6:I6"/>
    <mergeCell ref="A7:C7"/>
    <mergeCell ref="D21:I21"/>
    <mergeCell ref="A16:C1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44" customWidth="1" min="5" max="5"/>
    <col width="30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MOTOR VEHICLE LOGBOOK</t>
        </is>
      </c>
    </row>
    <row r="2">
      <c r="A2" s="2" t="inlineStr">
        <is>
          <t>Logbook method - record of business and private travel</t>
        </is>
      </c>
    </row>
    <row r="4">
      <c r="A4" s="3" t="inlineStr">
        <is>
          <t>Vehicle and owner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Driver / owner</t>
        </is>
      </c>
      <c r="D5" s="6" t="inlineStr">
        <is>
          <t>Yash Vadukiya</t>
        </is>
      </c>
    </row>
    <row r="6">
      <c r="A6" s="5" t="inlineStr">
        <is>
          <t>Make</t>
        </is>
      </c>
      <c r="D6" s="6" t="inlineStr">
        <is>
          <t>Toyota</t>
        </is>
      </c>
    </row>
    <row r="7">
      <c r="A7" s="5" t="inlineStr">
        <is>
          <t>Model</t>
        </is>
      </c>
      <c r="D7" s="6" t="inlineStr">
        <is>
          <t>Corolla Hybrid</t>
        </is>
      </c>
    </row>
    <row r="8">
      <c r="A8" s="5" t="inlineStr">
        <is>
          <t>Year of manufacture</t>
        </is>
      </c>
      <c r="D8" s="6" t="inlineStr">
        <is>
          <t>2021</t>
        </is>
      </c>
    </row>
    <row r="9">
      <c r="A9" s="5" t="inlineStr">
        <is>
          <t>Engine capacity</t>
        </is>
      </c>
      <c r="D9" s="6" t="inlineStr">
        <is>
          <t>1.8L</t>
        </is>
      </c>
    </row>
    <row r="10">
      <c r="A10" s="5" t="inlineStr">
        <is>
          <t>Registration number</t>
        </is>
      </c>
      <c r="D10" s="6" t="inlineStr">
        <is>
          <t>ABC123</t>
        </is>
      </c>
    </row>
    <row r="12">
      <c r="A12" s="3" t="inlineStr">
        <is>
          <t>Logbook period and odometer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Period begins</t>
        </is>
      </c>
      <c r="D13" s="7" t="n">
        <v>45839</v>
      </c>
    </row>
    <row r="14">
      <c r="A14" s="5" t="inlineStr">
        <is>
          <t>Period ends</t>
        </is>
      </c>
      <c r="D14" s="7" t="n">
        <v>45900</v>
      </c>
    </row>
    <row r="15">
      <c r="A15" s="5" t="inlineStr">
        <is>
          <t>Odometer reading at start of period</t>
        </is>
      </c>
      <c r="D15" s="8" t="n">
        <v>25954</v>
      </c>
    </row>
    <row r="16">
      <c r="A16" s="5" t="inlineStr">
        <is>
          <t>Odometer reading at end of period</t>
        </is>
      </c>
      <c r="D16" s="8" t="n">
        <v>32000</v>
      </c>
    </row>
    <row r="17">
      <c r="A17" s="5" t="inlineStr">
        <is>
          <t>Total kilometres travelled in period</t>
        </is>
      </c>
      <c r="D17" s="9">
        <f>D16-D15</f>
        <v/>
      </c>
    </row>
    <row r="19">
      <c r="A19" s="3" t="inlineStr">
        <is>
          <t>Business use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Income earned in the period</t>
        </is>
      </c>
      <c r="D20" s="10" t="n">
        <v>8000</v>
      </c>
    </row>
    <row r="21">
      <c r="A21" s="5" t="inlineStr">
        <is>
          <t>Business kilometres</t>
        </is>
      </c>
      <c r="D21" s="8">
        <f>I91</f>
        <v/>
      </c>
    </row>
    <row r="22">
      <c r="A22" s="5" t="inlineStr">
        <is>
          <t>Private kilometres</t>
        </is>
      </c>
      <c r="D22" s="8">
        <f>I92</f>
        <v/>
      </c>
    </row>
    <row r="23">
      <c r="A23" s="5" t="inlineStr">
        <is>
          <t>BUSINESS-USE PERCENTAGE</t>
        </is>
      </c>
      <c r="D23" s="11">
        <f>IFERROR(D21/D17,0)</f>
        <v/>
      </c>
    </row>
    <row r="24">
      <c r="A24" s="5" t="inlineStr">
        <is>
          <t>Logbook valid until (5 years)</t>
        </is>
      </c>
      <c r="D24" s="7">
        <f>DATE(YEAR(D14)+5,MONTH(D14),DAY(D14))</f>
        <v/>
      </c>
    </row>
    <row r="26" ht="30" customHeight="1">
      <c r="A26" s="12" t="inlineStr">
        <is>
          <t>No.</t>
        </is>
      </c>
      <c r="B26" s="12" t="inlineStr">
        <is>
          <t>Journey start date</t>
        </is>
      </c>
      <c r="C26" s="12" t="inlineStr">
        <is>
          <t>Journey end date</t>
        </is>
      </c>
      <c r="D26" s="12" t="inlineStr">
        <is>
          <t>Purpose</t>
        </is>
      </c>
      <c r="E26" s="12" t="inlineStr">
        <is>
          <t>Reason for journey</t>
        </is>
      </c>
      <c r="F26" s="12" t="inlineStr">
        <is>
          <t>Destination</t>
        </is>
      </c>
      <c r="G26" s="12" t="inlineStr">
        <is>
          <t>Odometer start</t>
        </is>
      </c>
      <c r="H26" s="12" t="inlineStr">
        <is>
          <t>Odometer end</t>
        </is>
      </c>
      <c r="I26" s="12" t="inlineStr">
        <is>
          <t>Kilometres</t>
        </is>
      </c>
    </row>
    <row r="27">
      <c r="A27" s="13" t="n">
        <v>1</v>
      </c>
      <c r="B27" s="14" t="n">
        <v>45839</v>
      </c>
      <c r="C27" s="14" t="n">
        <v>45839</v>
      </c>
      <c r="D27" s="13" t="inlineStr">
        <is>
          <t>Private</t>
        </is>
      </c>
      <c r="E27" s="15" t="inlineStr">
        <is>
          <t>Private use - family travel</t>
        </is>
      </c>
      <c r="F27" s="15" t="inlineStr"/>
      <c r="G27" s="16" t="n">
        <v>25954</v>
      </c>
      <c r="H27" s="16" t="n">
        <v>25991</v>
      </c>
      <c r="I27" s="16">
        <f>H27-G27</f>
        <v/>
      </c>
    </row>
    <row r="28">
      <c r="A28" s="13" t="n">
        <v>2</v>
      </c>
      <c r="B28" s="14" t="n">
        <v>45840</v>
      </c>
      <c r="C28" s="14" t="n">
        <v>45840</v>
      </c>
      <c r="D28" s="13" t="inlineStr">
        <is>
          <t>Private</t>
        </is>
      </c>
      <c r="E28" s="15" t="inlineStr">
        <is>
          <t>Private use - shopping trip</t>
        </is>
      </c>
      <c r="F28" s="15" t="inlineStr"/>
      <c r="G28" s="16" t="n">
        <v>25991</v>
      </c>
      <c r="H28" s="16" t="n">
        <v>26066</v>
      </c>
      <c r="I28" s="16">
        <f>H28-G28</f>
        <v/>
      </c>
    </row>
    <row r="29">
      <c r="A29" s="13" t="n">
        <v>3</v>
      </c>
      <c r="B29" s="14" t="n">
        <v>45841</v>
      </c>
      <c r="C29" s="14" t="n">
        <v>45841</v>
      </c>
      <c r="D29" s="13" t="inlineStr">
        <is>
          <t>Private</t>
        </is>
      </c>
      <c r="E29" s="15" t="inlineStr">
        <is>
          <t>Private use - shopping trip</t>
        </is>
      </c>
      <c r="F29" s="15" t="inlineStr"/>
      <c r="G29" s="16" t="n">
        <v>26066</v>
      </c>
      <c r="H29" s="16" t="n">
        <v>26138</v>
      </c>
      <c r="I29" s="16">
        <f>H29-G29</f>
        <v/>
      </c>
    </row>
    <row r="30">
      <c r="A30" s="13" t="n">
        <v>4</v>
      </c>
      <c r="B30" s="14" t="n">
        <v>45842</v>
      </c>
      <c r="C30" s="14" t="n">
        <v>45842</v>
      </c>
      <c r="D30" s="13" t="inlineStr">
        <is>
          <t>Business</t>
        </is>
      </c>
      <c r="E30" s="15" t="inlineStr">
        <is>
          <t>Food delivery run</t>
        </is>
      </c>
      <c r="F30" s="15" t="inlineStr">
        <is>
          <t>North Lakes / Newstead</t>
        </is>
      </c>
      <c r="G30" s="16" t="n">
        <v>26138</v>
      </c>
      <c r="H30" s="16" t="n">
        <v>26358</v>
      </c>
      <c r="I30" s="16">
        <f>H30-G30</f>
        <v/>
      </c>
    </row>
    <row r="31">
      <c r="A31" s="13" t="n">
        <v>5</v>
      </c>
      <c r="B31" s="14" t="n">
        <v>45842</v>
      </c>
      <c r="C31" s="14" t="n">
        <v>45842</v>
      </c>
      <c r="D31" s="13" t="inlineStr">
        <is>
          <t>Private</t>
        </is>
      </c>
      <c r="E31" s="15" t="inlineStr">
        <is>
          <t>Private use - shopping trip</t>
        </is>
      </c>
      <c r="F31" s="15" t="inlineStr"/>
      <c r="G31" s="16" t="n">
        <v>26358</v>
      </c>
      <c r="H31" s="16" t="n">
        <v>26392</v>
      </c>
      <c r="I31" s="16">
        <f>H31-G31</f>
        <v/>
      </c>
    </row>
    <row r="32">
      <c r="A32" s="13" t="n">
        <v>6</v>
      </c>
      <c r="B32" s="14" t="n">
        <v>45843</v>
      </c>
      <c r="C32" s="14" t="n">
        <v>45843</v>
      </c>
      <c r="D32" s="13" t="inlineStr">
        <is>
          <t>Business</t>
        </is>
      </c>
      <c r="E32" s="15" t="inlineStr">
        <is>
          <t>Rideshare fares - weekend shift</t>
        </is>
      </c>
      <c r="F32" s="15" t="inlineStr">
        <is>
          <t>Springwood / Fortitude Valley</t>
        </is>
      </c>
      <c r="G32" s="16" t="n">
        <v>26392</v>
      </c>
      <c r="H32" s="16" t="n">
        <v>26602</v>
      </c>
      <c r="I32" s="16">
        <f>H32-G32</f>
        <v/>
      </c>
    </row>
    <row r="33">
      <c r="A33" s="13" t="n">
        <v>7</v>
      </c>
      <c r="B33" s="14" t="n">
        <v>45843</v>
      </c>
      <c r="C33" s="14" t="n">
        <v>45843</v>
      </c>
      <c r="D33" s="13" t="inlineStr">
        <is>
          <t>Private</t>
        </is>
      </c>
      <c r="E33" s="15" t="inlineStr">
        <is>
          <t>Private use - personal errands</t>
        </is>
      </c>
      <c r="F33" s="15" t="inlineStr"/>
      <c r="G33" s="16" t="n">
        <v>26602</v>
      </c>
      <c r="H33" s="16" t="n">
        <v>26635</v>
      </c>
      <c r="I33" s="16">
        <f>H33-G33</f>
        <v/>
      </c>
    </row>
    <row r="34">
      <c r="A34" s="13" t="n">
        <v>8</v>
      </c>
      <c r="B34" s="14" t="n">
        <v>45844</v>
      </c>
      <c r="C34" s="14" t="n">
        <v>45844</v>
      </c>
      <c r="D34" s="13" t="inlineStr">
        <is>
          <t>Business</t>
        </is>
      </c>
      <c r="E34" s="15" t="inlineStr">
        <is>
          <t>Parcel delivery run</t>
        </is>
      </c>
      <c r="F34" s="15" t="inlineStr">
        <is>
          <t>Sunnybank</t>
        </is>
      </c>
      <c r="G34" s="16" t="n">
        <v>26635</v>
      </c>
      <c r="H34" s="16" t="n">
        <v>26762</v>
      </c>
      <c r="I34" s="16">
        <f>H34-G34</f>
        <v/>
      </c>
    </row>
    <row r="35">
      <c r="A35" s="13" t="n">
        <v>9</v>
      </c>
      <c r="B35" s="14" t="n">
        <v>45846</v>
      </c>
      <c r="C35" s="14" t="n">
        <v>45846</v>
      </c>
      <c r="D35" s="13" t="inlineStr">
        <is>
          <t>Private</t>
        </is>
      </c>
      <c r="E35" s="15" t="inlineStr">
        <is>
          <t>Private use - weekend outing</t>
        </is>
      </c>
      <c r="F35" s="15" t="inlineStr"/>
      <c r="G35" s="16" t="n">
        <v>26762</v>
      </c>
      <c r="H35" s="16" t="n">
        <v>26839</v>
      </c>
      <c r="I35" s="16">
        <f>H35-G35</f>
        <v/>
      </c>
    </row>
    <row r="36">
      <c r="A36" s="13" t="n">
        <v>10</v>
      </c>
      <c r="B36" s="14" t="n">
        <v>45848</v>
      </c>
      <c r="C36" s="14" t="n">
        <v>45848</v>
      </c>
      <c r="D36" s="13" t="inlineStr">
        <is>
          <t>Private</t>
        </is>
      </c>
      <c r="E36" s="15" t="inlineStr">
        <is>
          <t>Private use - weekend outing</t>
        </is>
      </c>
      <c r="F36" s="15" t="inlineStr"/>
      <c r="G36" s="16" t="n">
        <v>26839</v>
      </c>
      <c r="H36" s="16" t="n">
        <v>26908</v>
      </c>
      <c r="I36" s="16">
        <f>H36-G36</f>
        <v/>
      </c>
    </row>
    <row r="37">
      <c r="A37" s="13" t="n">
        <v>11</v>
      </c>
      <c r="B37" s="14" t="n">
        <v>45849</v>
      </c>
      <c r="C37" s="14" t="n">
        <v>45849</v>
      </c>
      <c r="D37" s="13" t="inlineStr">
        <is>
          <t>Business</t>
        </is>
      </c>
      <c r="E37" s="15" t="inlineStr">
        <is>
          <t>Rideshare fares - weekend shift</t>
        </is>
      </c>
      <c r="F37" s="15" t="inlineStr">
        <is>
          <t>Brisbane Airport</t>
        </is>
      </c>
      <c r="G37" s="16" t="n">
        <v>26908</v>
      </c>
      <c r="H37" s="16" t="n">
        <v>27006</v>
      </c>
      <c r="I37" s="16">
        <f>H37-G37</f>
        <v/>
      </c>
    </row>
    <row r="38">
      <c r="A38" s="13" t="n">
        <v>12</v>
      </c>
      <c r="B38" s="14" t="n">
        <v>45849</v>
      </c>
      <c r="C38" s="14" t="n">
        <v>45849</v>
      </c>
      <c r="D38" s="13" t="inlineStr">
        <is>
          <t>Private</t>
        </is>
      </c>
      <c r="E38" s="15" t="inlineStr">
        <is>
          <t>Private use - personal errands</t>
        </is>
      </c>
      <c r="F38" s="15" t="inlineStr"/>
      <c r="G38" s="16" t="n">
        <v>27006</v>
      </c>
      <c r="H38" s="16" t="n">
        <v>27065</v>
      </c>
      <c r="I38" s="16">
        <f>H38-G38</f>
        <v/>
      </c>
    </row>
    <row r="39">
      <c r="A39" s="13" t="n">
        <v>13</v>
      </c>
      <c r="B39" s="14" t="n">
        <v>45850</v>
      </c>
      <c r="C39" s="14" t="n">
        <v>45850</v>
      </c>
      <c r="D39" s="13" t="inlineStr">
        <is>
          <t>Business</t>
        </is>
      </c>
      <c r="E39" s="15" t="inlineStr">
        <is>
          <t>Food delivery - lunch peak</t>
        </is>
      </c>
      <c r="F39" s="15" t="inlineStr">
        <is>
          <t>Aspley</t>
        </is>
      </c>
      <c r="G39" s="16" t="n">
        <v>27065</v>
      </c>
      <c r="H39" s="16" t="n">
        <v>27205</v>
      </c>
      <c r="I39" s="16">
        <f>H39-G39</f>
        <v/>
      </c>
    </row>
    <row r="40">
      <c r="A40" s="13" t="n">
        <v>14</v>
      </c>
      <c r="B40" s="14" t="n">
        <v>45851</v>
      </c>
      <c r="C40" s="14" t="n">
        <v>45851</v>
      </c>
      <c r="D40" s="13" t="inlineStr">
        <is>
          <t>Business</t>
        </is>
      </c>
      <c r="E40" s="15" t="inlineStr">
        <is>
          <t>Rideshare fares - morning peak</t>
        </is>
      </c>
      <c r="F40" s="15" t="inlineStr">
        <is>
          <t>Brisbane CBD</t>
        </is>
      </c>
      <c r="G40" s="16" t="n">
        <v>27205</v>
      </c>
      <c r="H40" s="16" t="n">
        <v>27338</v>
      </c>
      <c r="I40" s="16">
        <f>H40-G40</f>
        <v/>
      </c>
    </row>
    <row r="41">
      <c r="A41" s="13" t="n">
        <v>15</v>
      </c>
      <c r="B41" s="14" t="n">
        <v>45851</v>
      </c>
      <c r="C41" s="14" t="n">
        <v>45851</v>
      </c>
      <c r="D41" s="13" t="inlineStr">
        <is>
          <t>Private</t>
        </is>
      </c>
      <c r="E41" s="15" t="inlineStr">
        <is>
          <t>Private use - personal errands</t>
        </is>
      </c>
      <c r="F41" s="15" t="inlineStr"/>
      <c r="G41" s="16" t="n">
        <v>27338</v>
      </c>
      <c r="H41" s="16" t="n">
        <v>27378</v>
      </c>
      <c r="I41" s="16">
        <f>H41-G41</f>
        <v/>
      </c>
    </row>
    <row r="42">
      <c r="A42" s="13" t="n">
        <v>16</v>
      </c>
      <c r="B42" s="14" t="n">
        <v>45852</v>
      </c>
      <c r="C42" s="14" t="n">
        <v>45852</v>
      </c>
      <c r="D42" s="13" t="inlineStr">
        <is>
          <t>Private</t>
        </is>
      </c>
      <c r="E42" s="15" t="inlineStr">
        <is>
          <t>Private use - shopping trip</t>
        </is>
      </c>
      <c r="F42" s="15" t="inlineStr"/>
      <c r="G42" s="16" t="n">
        <v>27378</v>
      </c>
      <c r="H42" s="16" t="n">
        <v>27450</v>
      </c>
      <c r="I42" s="16">
        <f>H42-G42</f>
        <v/>
      </c>
    </row>
    <row r="43">
      <c r="A43" s="13" t="n">
        <v>17</v>
      </c>
      <c r="B43" s="14" t="n">
        <v>45855</v>
      </c>
      <c r="C43" s="14" t="n">
        <v>45855</v>
      </c>
      <c r="D43" s="13" t="inlineStr">
        <is>
          <t>Private</t>
        </is>
      </c>
      <c r="E43" s="15" t="inlineStr">
        <is>
          <t>Private use - shopping trip</t>
        </is>
      </c>
      <c r="F43" s="15" t="inlineStr"/>
      <c r="G43" s="16" t="n">
        <v>27450</v>
      </c>
      <c r="H43" s="16" t="n">
        <v>27481</v>
      </c>
      <c r="I43" s="16">
        <f>H43-G43</f>
        <v/>
      </c>
    </row>
    <row r="44">
      <c r="A44" s="13" t="n">
        <v>18</v>
      </c>
      <c r="B44" s="14" t="n">
        <v>45856</v>
      </c>
      <c r="C44" s="14" t="n">
        <v>45856</v>
      </c>
      <c r="D44" s="13" t="inlineStr">
        <is>
          <t>Business</t>
        </is>
      </c>
      <c r="E44" s="15" t="inlineStr">
        <is>
          <t>Late night delivery run</t>
        </is>
      </c>
      <c r="F44" s="15" t="inlineStr">
        <is>
          <t>Mount Gravatt</t>
        </is>
      </c>
      <c r="G44" s="16" t="n">
        <v>27481</v>
      </c>
      <c r="H44" s="16" t="n">
        <v>27606</v>
      </c>
      <c r="I44" s="16">
        <f>H44-G44</f>
        <v/>
      </c>
    </row>
    <row r="45">
      <c r="A45" s="13" t="n">
        <v>19</v>
      </c>
      <c r="B45" s="14" t="n">
        <v>45856</v>
      </c>
      <c r="C45" s="14" t="n">
        <v>45856</v>
      </c>
      <c r="D45" s="13" t="inlineStr">
        <is>
          <t>Private</t>
        </is>
      </c>
      <c r="E45" s="15" t="inlineStr">
        <is>
          <t>Private use - personal travel</t>
        </is>
      </c>
      <c r="F45" s="15" t="inlineStr"/>
      <c r="G45" s="16" t="n">
        <v>27606</v>
      </c>
      <c r="H45" s="16" t="n">
        <v>27662</v>
      </c>
      <c r="I45" s="16">
        <f>H45-G45</f>
        <v/>
      </c>
    </row>
    <row r="46">
      <c r="A46" s="13" t="n">
        <v>20</v>
      </c>
      <c r="B46" s="14" t="n">
        <v>45857</v>
      </c>
      <c r="C46" s="14" t="n">
        <v>45857</v>
      </c>
      <c r="D46" s="13" t="inlineStr">
        <is>
          <t>Business</t>
        </is>
      </c>
      <c r="E46" s="15" t="inlineStr">
        <is>
          <t>Rideshare fares - morning peak</t>
        </is>
      </c>
      <c r="F46" s="15" t="inlineStr">
        <is>
          <t>Logan Central / West End</t>
        </is>
      </c>
      <c r="G46" s="16" t="n">
        <v>27662</v>
      </c>
      <c r="H46" s="16" t="n">
        <v>27898</v>
      </c>
      <c r="I46" s="16">
        <f>H46-G46</f>
        <v/>
      </c>
    </row>
    <row r="47">
      <c r="A47" s="13" t="n">
        <v>21</v>
      </c>
      <c r="B47" s="14" t="n">
        <v>45858</v>
      </c>
      <c r="C47" s="14" t="n">
        <v>45858</v>
      </c>
      <c r="D47" s="13" t="inlineStr">
        <is>
          <t>Business</t>
        </is>
      </c>
      <c r="E47" s="15" t="inlineStr">
        <is>
          <t>Late night delivery run</t>
        </is>
      </c>
      <c r="F47" s="15" t="inlineStr">
        <is>
          <t>Indooroopilly / North Lakes</t>
        </is>
      </c>
      <c r="G47" s="16" t="n">
        <v>27898</v>
      </c>
      <c r="H47" s="16" t="n">
        <v>28124</v>
      </c>
      <c r="I47" s="16">
        <f>H47-G47</f>
        <v/>
      </c>
    </row>
    <row r="48">
      <c r="A48" s="13" t="n">
        <v>22</v>
      </c>
      <c r="B48" s="14" t="n">
        <v>45858</v>
      </c>
      <c r="C48" s="14" t="n">
        <v>45858</v>
      </c>
      <c r="D48" s="13" t="inlineStr">
        <is>
          <t>Private</t>
        </is>
      </c>
      <c r="E48" s="15" t="inlineStr">
        <is>
          <t>Private use - weekend outing</t>
        </is>
      </c>
      <c r="F48" s="15" t="inlineStr"/>
      <c r="G48" s="16" t="n">
        <v>28124</v>
      </c>
      <c r="H48" s="16" t="n">
        <v>28168</v>
      </c>
      <c r="I48" s="16">
        <f>H48-G48</f>
        <v/>
      </c>
    </row>
    <row r="49">
      <c r="A49" s="13" t="n">
        <v>23</v>
      </c>
      <c r="B49" s="14" t="n">
        <v>45860</v>
      </c>
      <c r="C49" s="14" t="n">
        <v>45860</v>
      </c>
      <c r="D49" s="13" t="inlineStr">
        <is>
          <t>Private</t>
        </is>
      </c>
      <c r="E49" s="15" t="inlineStr">
        <is>
          <t>Private use - visiting friends</t>
        </is>
      </c>
      <c r="F49" s="15" t="inlineStr"/>
      <c r="G49" s="16" t="n">
        <v>28168</v>
      </c>
      <c r="H49" s="16" t="n">
        <v>28233</v>
      </c>
      <c r="I49" s="16">
        <f>H49-G49</f>
        <v/>
      </c>
    </row>
    <row r="50">
      <c r="A50" s="13" t="n">
        <v>24</v>
      </c>
      <c r="B50" s="14" t="n">
        <v>45861</v>
      </c>
      <c r="C50" s="14" t="n">
        <v>45861</v>
      </c>
      <c r="D50" s="13" t="inlineStr">
        <is>
          <t>Private</t>
        </is>
      </c>
      <c r="E50" s="15" t="inlineStr">
        <is>
          <t>Private use - visiting friends</t>
        </is>
      </c>
      <c r="F50" s="15" t="inlineStr"/>
      <c r="G50" s="16" t="n">
        <v>28233</v>
      </c>
      <c r="H50" s="16" t="n">
        <v>28279</v>
      </c>
      <c r="I50" s="16">
        <f>H50-G50</f>
        <v/>
      </c>
    </row>
    <row r="51">
      <c r="A51" s="13" t="n">
        <v>25</v>
      </c>
      <c r="B51" s="14" t="n">
        <v>45862</v>
      </c>
      <c r="C51" s="14" t="n">
        <v>45862</v>
      </c>
      <c r="D51" s="13" t="inlineStr">
        <is>
          <t>Private</t>
        </is>
      </c>
      <c r="E51" s="15" t="inlineStr">
        <is>
          <t>Private use - visiting friends</t>
        </is>
      </c>
      <c r="F51" s="15" t="inlineStr"/>
      <c r="G51" s="16" t="n">
        <v>28279</v>
      </c>
      <c r="H51" s="16" t="n">
        <v>28354</v>
      </c>
      <c r="I51" s="16">
        <f>H51-G51</f>
        <v/>
      </c>
    </row>
    <row r="52">
      <c r="A52" s="13" t="n">
        <v>26</v>
      </c>
      <c r="B52" s="14" t="n">
        <v>45863</v>
      </c>
      <c r="C52" s="14" t="n">
        <v>45863</v>
      </c>
      <c r="D52" s="13" t="inlineStr">
        <is>
          <t>Business</t>
        </is>
      </c>
      <c r="E52" s="15" t="inlineStr">
        <is>
          <t>Rideshare fares - weekend shift</t>
        </is>
      </c>
      <c r="F52" s="15" t="inlineStr">
        <is>
          <t>Chermside</t>
        </is>
      </c>
      <c r="G52" s="16" t="n">
        <v>28354</v>
      </c>
      <c r="H52" s="16" t="n">
        <v>28494</v>
      </c>
      <c r="I52" s="16">
        <f>H52-G52</f>
        <v/>
      </c>
    </row>
    <row r="53">
      <c r="A53" s="13" t="n">
        <v>27</v>
      </c>
      <c r="B53" s="14" t="n">
        <v>45863</v>
      </c>
      <c r="C53" s="14" t="n">
        <v>45863</v>
      </c>
      <c r="D53" s="13" t="inlineStr">
        <is>
          <t>Private</t>
        </is>
      </c>
      <c r="E53" s="15" t="inlineStr">
        <is>
          <t>Private use - visiting friends</t>
        </is>
      </c>
      <c r="F53" s="15" t="inlineStr"/>
      <c r="G53" s="16" t="n">
        <v>28494</v>
      </c>
      <c r="H53" s="16" t="n">
        <v>28519</v>
      </c>
      <c r="I53" s="16">
        <f>H53-G53</f>
        <v/>
      </c>
    </row>
    <row r="54">
      <c r="A54" s="13" t="n">
        <v>28</v>
      </c>
      <c r="B54" s="14" t="n">
        <v>45864</v>
      </c>
      <c r="C54" s="14" t="n">
        <v>45864</v>
      </c>
      <c r="D54" s="13" t="inlineStr">
        <is>
          <t>Business</t>
        </is>
      </c>
      <c r="E54" s="15" t="inlineStr">
        <is>
          <t>Late night delivery run</t>
        </is>
      </c>
      <c r="F54" s="15" t="inlineStr">
        <is>
          <t>Mount Gravatt / Everton Park</t>
        </is>
      </c>
      <c r="G54" s="16" t="n">
        <v>28519</v>
      </c>
      <c r="H54" s="16" t="n">
        <v>28711</v>
      </c>
      <c r="I54" s="16">
        <f>H54-G54</f>
        <v/>
      </c>
    </row>
    <row r="55">
      <c r="A55" s="13" t="n">
        <v>29</v>
      </c>
      <c r="B55" s="14" t="n">
        <v>45865</v>
      </c>
      <c r="C55" s="14" t="n">
        <v>45865</v>
      </c>
      <c r="D55" s="13" t="inlineStr">
        <is>
          <t>Business</t>
        </is>
      </c>
      <c r="E55" s="15" t="inlineStr">
        <is>
          <t>Rideshare fares - weekend shift</t>
        </is>
      </c>
      <c r="F55" s="15" t="inlineStr">
        <is>
          <t>South Bank</t>
        </is>
      </c>
      <c r="G55" s="16" t="n">
        <v>28711</v>
      </c>
      <c r="H55" s="16" t="n">
        <v>28864</v>
      </c>
      <c r="I55" s="16">
        <f>H55-G55</f>
        <v/>
      </c>
    </row>
    <row r="56">
      <c r="A56" s="13" t="n">
        <v>30</v>
      </c>
      <c r="B56" s="14" t="n">
        <v>45865</v>
      </c>
      <c r="C56" s="14" t="n">
        <v>45865</v>
      </c>
      <c r="D56" s="13" t="inlineStr">
        <is>
          <t>Private</t>
        </is>
      </c>
      <c r="E56" s="15" t="inlineStr">
        <is>
          <t>Private use - personal errands</t>
        </is>
      </c>
      <c r="F56" s="15" t="inlineStr"/>
      <c r="G56" s="16" t="n">
        <v>28864</v>
      </c>
      <c r="H56" s="16" t="n">
        <v>28925</v>
      </c>
      <c r="I56" s="16">
        <f>H56-G56</f>
        <v/>
      </c>
    </row>
    <row r="57">
      <c r="A57" s="13" t="n">
        <v>31</v>
      </c>
      <c r="B57" s="14" t="n">
        <v>45869</v>
      </c>
      <c r="C57" s="14" t="n">
        <v>45869</v>
      </c>
      <c r="D57" s="13" t="inlineStr">
        <is>
          <t>Private</t>
        </is>
      </c>
      <c r="E57" s="15" t="inlineStr">
        <is>
          <t>Private use - family travel</t>
        </is>
      </c>
      <c r="F57" s="15" t="inlineStr"/>
      <c r="G57" s="16" t="n">
        <v>28925</v>
      </c>
      <c r="H57" s="16" t="n">
        <v>28994</v>
      </c>
      <c r="I57" s="16">
        <f>H57-G57</f>
        <v/>
      </c>
    </row>
    <row r="58">
      <c r="A58" s="13" t="n">
        <v>32</v>
      </c>
      <c r="B58" s="14" t="n">
        <v>45870</v>
      </c>
      <c r="C58" s="14" t="n">
        <v>45870</v>
      </c>
      <c r="D58" s="13" t="inlineStr">
        <is>
          <t>Business</t>
        </is>
      </c>
      <c r="E58" s="15" t="inlineStr">
        <is>
          <t>Grocery delivery run</t>
        </is>
      </c>
      <c r="F58" s="15" t="inlineStr">
        <is>
          <t>Aspley</t>
        </is>
      </c>
      <c r="G58" s="16" t="n">
        <v>28994</v>
      </c>
      <c r="H58" s="16" t="n">
        <v>29179</v>
      </c>
      <c r="I58" s="16">
        <f>H58-G58</f>
        <v/>
      </c>
    </row>
    <row r="59">
      <c r="A59" s="13" t="n">
        <v>33</v>
      </c>
      <c r="B59" s="14" t="n">
        <v>45870</v>
      </c>
      <c r="C59" s="14" t="n">
        <v>45870</v>
      </c>
      <c r="D59" s="13" t="inlineStr">
        <is>
          <t>Private</t>
        </is>
      </c>
      <c r="E59" s="15" t="inlineStr">
        <is>
          <t>Private use - visiting friends</t>
        </is>
      </c>
      <c r="F59" s="15" t="inlineStr"/>
      <c r="G59" s="16" t="n">
        <v>29179</v>
      </c>
      <c r="H59" s="16" t="n">
        <v>29234</v>
      </c>
      <c r="I59" s="16">
        <f>H59-G59</f>
        <v/>
      </c>
    </row>
    <row r="60">
      <c r="A60" s="13" t="n">
        <v>34</v>
      </c>
      <c r="B60" s="14" t="n">
        <v>45871</v>
      </c>
      <c r="C60" s="14" t="n">
        <v>45871</v>
      </c>
      <c r="D60" s="13" t="inlineStr">
        <is>
          <t>Business</t>
        </is>
      </c>
      <c r="E60" s="15" t="inlineStr">
        <is>
          <t>Rideshare fares - late night runs</t>
        </is>
      </c>
      <c r="F60" s="15" t="inlineStr">
        <is>
          <t>Springwood</t>
        </is>
      </c>
      <c r="G60" s="16" t="n">
        <v>29234</v>
      </c>
      <c r="H60" s="16" t="n">
        <v>29370</v>
      </c>
      <c r="I60" s="16">
        <f>H60-G60</f>
        <v/>
      </c>
    </row>
    <row r="61">
      <c r="A61" s="13" t="n">
        <v>35</v>
      </c>
      <c r="B61" s="14" t="n">
        <v>45872</v>
      </c>
      <c r="C61" s="14" t="n">
        <v>45872</v>
      </c>
      <c r="D61" s="13" t="inlineStr">
        <is>
          <t>Business</t>
        </is>
      </c>
      <c r="E61" s="15" t="inlineStr">
        <is>
          <t>Rideshare fares - weekend shift</t>
        </is>
      </c>
      <c r="F61" s="15" t="inlineStr">
        <is>
          <t>Newstead</t>
        </is>
      </c>
      <c r="G61" s="16" t="n">
        <v>29370</v>
      </c>
      <c r="H61" s="16" t="n">
        <v>29459</v>
      </c>
      <c r="I61" s="16">
        <f>H61-G61</f>
        <v/>
      </c>
    </row>
    <row r="62">
      <c r="A62" s="13" t="n">
        <v>36</v>
      </c>
      <c r="B62" s="14" t="n">
        <v>45872</v>
      </c>
      <c r="C62" s="14" t="n">
        <v>45872</v>
      </c>
      <c r="D62" s="13" t="inlineStr">
        <is>
          <t>Private</t>
        </is>
      </c>
      <c r="E62" s="15" t="inlineStr">
        <is>
          <t>Private use - personal travel</t>
        </is>
      </c>
      <c r="F62" s="15" t="inlineStr"/>
      <c r="G62" s="16" t="n">
        <v>29459</v>
      </c>
      <c r="H62" s="16" t="n">
        <v>29519</v>
      </c>
      <c r="I62" s="16">
        <f>H62-G62</f>
        <v/>
      </c>
    </row>
    <row r="63">
      <c r="A63" s="13" t="n">
        <v>37</v>
      </c>
      <c r="B63" s="14" t="n">
        <v>45873</v>
      </c>
      <c r="C63" s="14" t="n">
        <v>45873</v>
      </c>
      <c r="D63" s="13" t="inlineStr">
        <is>
          <t>Private</t>
        </is>
      </c>
      <c r="E63" s="15" t="inlineStr">
        <is>
          <t>Private use - weekend outing</t>
        </is>
      </c>
      <c r="F63" s="15" t="inlineStr"/>
      <c r="G63" s="16" t="n">
        <v>29519</v>
      </c>
      <c r="H63" s="16" t="n">
        <v>29590</v>
      </c>
      <c r="I63" s="16">
        <f>H63-G63</f>
        <v/>
      </c>
    </row>
    <row r="64">
      <c r="A64" s="13" t="n">
        <v>38</v>
      </c>
      <c r="B64" s="14" t="n">
        <v>45874</v>
      </c>
      <c r="C64" s="14" t="n">
        <v>45874</v>
      </c>
      <c r="D64" s="13" t="inlineStr">
        <is>
          <t>Private</t>
        </is>
      </c>
      <c r="E64" s="15" t="inlineStr">
        <is>
          <t>Private use - family travel</t>
        </is>
      </c>
      <c r="F64" s="15" t="inlineStr"/>
      <c r="G64" s="16" t="n">
        <v>29590</v>
      </c>
      <c r="H64" s="16" t="n">
        <v>29659</v>
      </c>
      <c r="I64" s="16">
        <f>H64-G64</f>
        <v/>
      </c>
    </row>
    <row r="65">
      <c r="A65" s="13" t="n">
        <v>39</v>
      </c>
      <c r="B65" s="14" t="n">
        <v>45875</v>
      </c>
      <c r="C65" s="14" t="n">
        <v>45875</v>
      </c>
      <c r="D65" s="13" t="inlineStr">
        <is>
          <t>Private</t>
        </is>
      </c>
      <c r="E65" s="15" t="inlineStr">
        <is>
          <t>Private use - shopping trip</t>
        </is>
      </c>
      <c r="F65" s="15" t="inlineStr"/>
      <c r="G65" s="16" t="n">
        <v>29659</v>
      </c>
      <c r="H65" s="16" t="n">
        <v>29702</v>
      </c>
      <c r="I65" s="16">
        <f>H65-G65</f>
        <v/>
      </c>
    </row>
    <row r="66">
      <c r="A66" s="13" t="n">
        <v>40</v>
      </c>
      <c r="B66" s="14" t="n">
        <v>45877</v>
      </c>
      <c r="C66" s="14" t="n">
        <v>45877</v>
      </c>
      <c r="D66" s="13" t="inlineStr">
        <is>
          <t>Business</t>
        </is>
      </c>
      <c r="E66" s="15" t="inlineStr">
        <is>
          <t>Courier pickups and drop-offs</t>
        </is>
      </c>
      <c r="F66" s="15" t="inlineStr">
        <is>
          <t>Kedron</t>
        </is>
      </c>
      <c r="G66" s="16" t="n">
        <v>29702</v>
      </c>
      <c r="H66" s="16" t="n">
        <v>29833</v>
      </c>
      <c r="I66" s="16">
        <f>H66-G66</f>
        <v/>
      </c>
    </row>
    <row r="67">
      <c r="A67" s="13" t="n">
        <v>41</v>
      </c>
      <c r="B67" s="14" t="n">
        <v>45877</v>
      </c>
      <c r="C67" s="14" t="n">
        <v>45877</v>
      </c>
      <c r="D67" s="13" t="inlineStr">
        <is>
          <t>Private</t>
        </is>
      </c>
      <c r="E67" s="15" t="inlineStr">
        <is>
          <t>Private use - family travel</t>
        </is>
      </c>
      <c r="F67" s="15" t="inlineStr"/>
      <c r="G67" s="16" t="n">
        <v>29833</v>
      </c>
      <c r="H67" s="16" t="n">
        <v>29892</v>
      </c>
      <c r="I67" s="16">
        <f>H67-G67</f>
        <v/>
      </c>
    </row>
    <row r="68">
      <c r="A68" s="13" t="n">
        <v>42</v>
      </c>
      <c r="B68" s="14" t="n">
        <v>45878</v>
      </c>
      <c r="C68" s="14" t="n">
        <v>45878</v>
      </c>
      <c r="D68" s="13" t="inlineStr">
        <is>
          <t>Business</t>
        </is>
      </c>
      <c r="E68" s="15" t="inlineStr">
        <is>
          <t>Rideshare fares - evening shift</t>
        </is>
      </c>
      <c r="F68" s="15" t="inlineStr">
        <is>
          <t>Logan Central / Fortitude Valley</t>
        </is>
      </c>
      <c r="G68" s="16" t="n">
        <v>29892</v>
      </c>
      <c r="H68" s="16" t="n">
        <v>30104</v>
      </c>
      <c r="I68" s="16">
        <f>H68-G68</f>
        <v/>
      </c>
    </row>
    <row r="69">
      <c r="A69" s="13" t="n">
        <v>43</v>
      </c>
      <c r="B69" s="14" t="n">
        <v>45879</v>
      </c>
      <c r="C69" s="14" t="n">
        <v>45879</v>
      </c>
      <c r="D69" s="13" t="inlineStr">
        <is>
          <t>Business</t>
        </is>
      </c>
      <c r="E69" s="15" t="inlineStr">
        <is>
          <t>Parcel delivery run</t>
        </is>
      </c>
      <c r="F69" s="15" t="inlineStr">
        <is>
          <t>North Lakes</t>
        </is>
      </c>
      <c r="G69" s="16" t="n">
        <v>30104</v>
      </c>
      <c r="H69" s="16" t="n">
        <v>30254</v>
      </c>
      <c r="I69" s="16">
        <f>H69-G69</f>
        <v/>
      </c>
    </row>
    <row r="70">
      <c r="A70" s="13" t="n">
        <v>44</v>
      </c>
      <c r="B70" s="14" t="n">
        <v>45880</v>
      </c>
      <c r="C70" s="14" t="n">
        <v>45880</v>
      </c>
      <c r="D70" s="13" t="inlineStr">
        <is>
          <t>Private</t>
        </is>
      </c>
      <c r="E70" s="15" t="inlineStr">
        <is>
          <t>Private use - personal errands</t>
        </is>
      </c>
      <c r="F70" s="15" t="inlineStr"/>
      <c r="G70" s="16" t="n">
        <v>30254</v>
      </c>
      <c r="H70" s="16" t="n">
        <v>30322</v>
      </c>
      <c r="I70" s="16">
        <f>H70-G70</f>
        <v/>
      </c>
    </row>
    <row r="71">
      <c r="A71" s="13" t="n">
        <v>45</v>
      </c>
      <c r="B71" s="14" t="n">
        <v>45881</v>
      </c>
      <c r="C71" s="14" t="n">
        <v>45881</v>
      </c>
      <c r="D71" s="13" t="inlineStr">
        <is>
          <t>Private</t>
        </is>
      </c>
      <c r="E71" s="15" t="inlineStr">
        <is>
          <t>Private use - weekend outing</t>
        </is>
      </c>
      <c r="F71" s="15" t="inlineStr"/>
      <c r="G71" s="16" t="n">
        <v>30322</v>
      </c>
      <c r="H71" s="16" t="n">
        <v>30357</v>
      </c>
      <c r="I71" s="16">
        <f>H71-G71</f>
        <v/>
      </c>
    </row>
    <row r="72">
      <c r="A72" s="13" t="n">
        <v>46</v>
      </c>
      <c r="B72" s="14" t="n">
        <v>45882</v>
      </c>
      <c r="C72" s="14" t="n">
        <v>45882</v>
      </c>
      <c r="D72" s="13" t="inlineStr">
        <is>
          <t>Private</t>
        </is>
      </c>
      <c r="E72" s="15" t="inlineStr">
        <is>
          <t>Private use - shopping trip</t>
        </is>
      </c>
      <c r="F72" s="15" t="inlineStr"/>
      <c r="G72" s="16" t="n">
        <v>30357</v>
      </c>
      <c r="H72" s="16" t="n">
        <v>30429</v>
      </c>
      <c r="I72" s="16">
        <f>H72-G72</f>
        <v/>
      </c>
    </row>
    <row r="73">
      <c r="A73" s="13" t="n">
        <v>47</v>
      </c>
      <c r="B73" s="14" t="n">
        <v>45883</v>
      </c>
      <c r="C73" s="14" t="n">
        <v>45883</v>
      </c>
      <c r="D73" s="13" t="inlineStr">
        <is>
          <t>Private</t>
        </is>
      </c>
      <c r="E73" s="15" t="inlineStr">
        <is>
          <t>Private use - weekend outing</t>
        </is>
      </c>
      <c r="F73" s="15" t="inlineStr"/>
      <c r="G73" s="16" t="n">
        <v>30429</v>
      </c>
      <c r="H73" s="16" t="n">
        <v>30500</v>
      </c>
      <c r="I73" s="16">
        <f>H73-G73</f>
        <v/>
      </c>
    </row>
    <row r="74">
      <c r="A74" s="13" t="n">
        <v>48</v>
      </c>
      <c r="B74" s="14" t="n">
        <v>45884</v>
      </c>
      <c r="C74" s="14" t="n">
        <v>45884</v>
      </c>
      <c r="D74" s="13" t="inlineStr">
        <is>
          <t>Business</t>
        </is>
      </c>
      <c r="E74" s="15" t="inlineStr">
        <is>
          <t>Rideshare fares - suburban runs</t>
        </is>
      </c>
      <c r="F74" s="15" t="inlineStr">
        <is>
          <t>West End / Fortitude Valley</t>
        </is>
      </c>
      <c r="G74" s="16" t="n">
        <v>30500</v>
      </c>
      <c r="H74" s="16" t="n">
        <v>30708</v>
      </c>
      <c r="I74" s="16">
        <f>H74-G74</f>
        <v/>
      </c>
    </row>
    <row r="75">
      <c r="A75" s="13" t="n">
        <v>49</v>
      </c>
      <c r="B75" s="14" t="n">
        <v>45884</v>
      </c>
      <c r="C75" s="14" t="n">
        <v>45884</v>
      </c>
      <c r="D75" s="13" t="inlineStr">
        <is>
          <t>Private</t>
        </is>
      </c>
      <c r="E75" s="15" t="inlineStr">
        <is>
          <t>Private use - personal errands</t>
        </is>
      </c>
      <c r="F75" s="15" t="inlineStr"/>
      <c r="G75" s="16" t="n">
        <v>30708</v>
      </c>
      <c r="H75" s="16" t="n">
        <v>30764</v>
      </c>
      <c r="I75" s="16">
        <f>H75-G75</f>
        <v/>
      </c>
    </row>
    <row r="76">
      <c r="A76" s="13" t="n">
        <v>50</v>
      </c>
      <c r="B76" s="14" t="n">
        <v>45885</v>
      </c>
      <c r="C76" s="14" t="n">
        <v>45885</v>
      </c>
      <c r="D76" s="13" t="inlineStr">
        <is>
          <t>Business</t>
        </is>
      </c>
      <c r="E76" s="15" t="inlineStr">
        <is>
          <t>Late night delivery run</t>
        </is>
      </c>
      <c r="F76" s="15" t="inlineStr">
        <is>
          <t>Everton Park / Mount Gravatt</t>
        </is>
      </c>
      <c r="G76" s="16" t="n">
        <v>30764</v>
      </c>
      <c r="H76" s="16" t="n">
        <v>30958</v>
      </c>
      <c r="I76" s="16">
        <f>H76-G76</f>
        <v/>
      </c>
    </row>
    <row r="77">
      <c r="A77" s="13" t="n">
        <v>51</v>
      </c>
      <c r="B77" s="14" t="n">
        <v>45885</v>
      </c>
      <c r="C77" s="14" t="n">
        <v>45885</v>
      </c>
      <c r="D77" s="13" t="inlineStr">
        <is>
          <t>Private</t>
        </is>
      </c>
      <c r="E77" s="15" t="inlineStr">
        <is>
          <t>Private use - personal errands</t>
        </is>
      </c>
      <c r="F77" s="15" t="inlineStr"/>
      <c r="G77" s="16" t="n">
        <v>30958</v>
      </c>
      <c r="H77" s="16" t="n">
        <v>30988</v>
      </c>
      <c r="I77" s="16">
        <f>H77-G77</f>
        <v/>
      </c>
    </row>
    <row r="78">
      <c r="A78" s="13" t="n">
        <v>52</v>
      </c>
      <c r="B78" s="14" t="n">
        <v>45886</v>
      </c>
      <c r="C78" s="14" t="n">
        <v>45886</v>
      </c>
      <c r="D78" s="13" t="inlineStr">
        <is>
          <t>Business</t>
        </is>
      </c>
      <c r="E78" s="15" t="inlineStr">
        <is>
          <t>Parcel delivery run</t>
        </is>
      </c>
      <c r="F78" s="15" t="inlineStr">
        <is>
          <t>Newstead</t>
        </is>
      </c>
      <c r="G78" s="16" t="n">
        <v>30988</v>
      </c>
      <c r="H78" s="16" t="n">
        <v>31070</v>
      </c>
      <c r="I78" s="16">
        <f>H78-G78</f>
        <v/>
      </c>
    </row>
    <row r="79">
      <c r="A79" s="13" t="n">
        <v>53</v>
      </c>
      <c r="B79" s="14" t="n">
        <v>45886</v>
      </c>
      <c r="C79" s="14" t="n">
        <v>45886</v>
      </c>
      <c r="D79" s="13" t="inlineStr">
        <is>
          <t>Private</t>
        </is>
      </c>
      <c r="E79" s="15" t="inlineStr">
        <is>
          <t>Private use - personal errands</t>
        </is>
      </c>
      <c r="F79" s="15" t="inlineStr"/>
      <c r="G79" s="16" t="n">
        <v>31070</v>
      </c>
      <c r="H79" s="16" t="n">
        <v>31112</v>
      </c>
      <c r="I79" s="16">
        <f>H79-G79</f>
        <v/>
      </c>
    </row>
    <row r="80">
      <c r="A80" s="13" t="n">
        <v>54</v>
      </c>
      <c r="B80" s="14" t="n">
        <v>45887</v>
      </c>
      <c r="C80" s="14" t="n">
        <v>45887</v>
      </c>
      <c r="D80" s="13" t="inlineStr">
        <is>
          <t>Private</t>
        </is>
      </c>
      <c r="E80" s="15" t="inlineStr">
        <is>
          <t>Private use - personal errands</t>
        </is>
      </c>
      <c r="F80" s="15" t="inlineStr"/>
      <c r="G80" s="16" t="n">
        <v>31112</v>
      </c>
      <c r="H80" s="16" t="n">
        <v>31152</v>
      </c>
      <c r="I80" s="16">
        <f>H80-G80</f>
        <v/>
      </c>
    </row>
    <row r="81">
      <c r="A81" s="13" t="n">
        <v>55</v>
      </c>
      <c r="B81" s="14" t="n">
        <v>45889</v>
      </c>
      <c r="C81" s="14" t="n">
        <v>45889</v>
      </c>
      <c r="D81" s="13" t="inlineStr">
        <is>
          <t>Private</t>
        </is>
      </c>
      <c r="E81" s="15" t="inlineStr">
        <is>
          <t>Private use - visiting friends</t>
        </is>
      </c>
      <c r="F81" s="15" t="inlineStr"/>
      <c r="G81" s="16" t="n">
        <v>31152</v>
      </c>
      <c r="H81" s="16" t="n">
        <v>31221</v>
      </c>
      <c r="I81" s="16">
        <f>H81-G81</f>
        <v/>
      </c>
    </row>
    <row r="82">
      <c r="A82" s="13" t="n">
        <v>56</v>
      </c>
      <c r="B82" s="14" t="n">
        <v>45891</v>
      </c>
      <c r="C82" s="14" t="n">
        <v>45891</v>
      </c>
      <c r="D82" s="13" t="inlineStr">
        <is>
          <t>Business</t>
        </is>
      </c>
      <c r="E82" s="15" t="inlineStr">
        <is>
          <t>Rideshare fares - suburban runs</t>
        </is>
      </c>
      <c r="F82" s="15" t="inlineStr">
        <is>
          <t>Brisbane CBD</t>
        </is>
      </c>
      <c r="G82" s="16" t="n">
        <v>31221</v>
      </c>
      <c r="H82" s="16" t="n">
        <v>31397</v>
      </c>
      <c r="I82" s="16">
        <f>H82-G82</f>
        <v/>
      </c>
    </row>
    <row r="83">
      <c r="A83" s="13" t="n">
        <v>57</v>
      </c>
      <c r="B83" s="14" t="n">
        <v>45891</v>
      </c>
      <c r="C83" s="14" t="n">
        <v>45891</v>
      </c>
      <c r="D83" s="13" t="inlineStr">
        <is>
          <t>Private</t>
        </is>
      </c>
      <c r="E83" s="15" t="inlineStr">
        <is>
          <t>Private use - personal errands</t>
        </is>
      </c>
      <c r="F83" s="15" t="inlineStr"/>
      <c r="G83" s="16" t="n">
        <v>31397</v>
      </c>
      <c r="H83" s="16" t="n">
        <v>31428</v>
      </c>
      <c r="I83" s="16">
        <f>H83-G83</f>
        <v/>
      </c>
    </row>
    <row r="84">
      <c r="A84" s="13" t="n">
        <v>58</v>
      </c>
      <c r="B84" s="14" t="n">
        <v>45892</v>
      </c>
      <c r="C84" s="14" t="n">
        <v>45892</v>
      </c>
      <c r="D84" s="13" t="inlineStr">
        <is>
          <t>Business</t>
        </is>
      </c>
      <c r="E84" s="15" t="inlineStr">
        <is>
          <t>Courier pickups and drop-offs</t>
        </is>
      </c>
      <c r="F84" s="15" t="inlineStr">
        <is>
          <t>Chermside</t>
        </is>
      </c>
      <c r="G84" s="16" t="n">
        <v>31428</v>
      </c>
      <c r="H84" s="16" t="n">
        <v>31598</v>
      </c>
      <c r="I84" s="16">
        <f>H84-G84</f>
        <v/>
      </c>
    </row>
    <row r="85">
      <c r="A85" s="13" t="n">
        <v>59</v>
      </c>
      <c r="B85" s="14" t="n">
        <v>45893</v>
      </c>
      <c r="C85" s="14" t="n">
        <v>45893</v>
      </c>
      <c r="D85" s="13" t="inlineStr">
        <is>
          <t>Business</t>
        </is>
      </c>
      <c r="E85" s="15" t="inlineStr">
        <is>
          <t>Rideshare fares - suburban runs</t>
        </is>
      </c>
      <c r="F85" s="15" t="inlineStr">
        <is>
          <t>Chermside</t>
        </is>
      </c>
      <c r="G85" s="16" t="n">
        <v>31598</v>
      </c>
      <c r="H85" s="16" t="n">
        <v>31749</v>
      </c>
      <c r="I85" s="16">
        <f>H85-G85</f>
        <v/>
      </c>
    </row>
    <row r="86">
      <c r="A86" s="13" t="n">
        <v>60</v>
      </c>
      <c r="B86" s="14" t="n">
        <v>45894</v>
      </c>
      <c r="C86" s="14" t="n">
        <v>45894</v>
      </c>
      <c r="D86" s="13" t="inlineStr">
        <is>
          <t>Private</t>
        </is>
      </c>
      <c r="E86" s="15" t="inlineStr">
        <is>
          <t>Private use - personal errands</t>
        </is>
      </c>
      <c r="F86" s="15" t="inlineStr"/>
      <c r="G86" s="16" t="n">
        <v>31749</v>
      </c>
      <c r="H86" s="16" t="n">
        <v>31801</v>
      </c>
      <c r="I86" s="16">
        <f>H86-G86</f>
        <v/>
      </c>
    </row>
    <row r="87">
      <c r="A87" s="13" t="n">
        <v>61</v>
      </c>
      <c r="B87" s="14" t="n">
        <v>45895</v>
      </c>
      <c r="C87" s="14" t="n">
        <v>45895</v>
      </c>
      <c r="D87" s="13" t="inlineStr">
        <is>
          <t>Private</t>
        </is>
      </c>
      <c r="E87" s="15" t="inlineStr">
        <is>
          <t>Private use - visiting friends</t>
        </is>
      </c>
      <c r="F87" s="15" t="inlineStr"/>
      <c r="G87" s="16" t="n">
        <v>31801</v>
      </c>
      <c r="H87" s="16" t="n">
        <v>31845</v>
      </c>
      <c r="I87" s="16">
        <f>H87-G87</f>
        <v/>
      </c>
    </row>
    <row r="88">
      <c r="A88" s="13" t="n">
        <v>62</v>
      </c>
      <c r="B88" s="14" t="n">
        <v>45899</v>
      </c>
      <c r="C88" s="14" t="n">
        <v>45899</v>
      </c>
      <c r="D88" s="13" t="inlineStr">
        <is>
          <t>Private</t>
        </is>
      </c>
      <c r="E88" s="15" t="inlineStr">
        <is>
          <t>Private use - weekend outing</t>
        </is>
      </c>
      <c r="F88" s="15" t="inlineStr"/>
      <c r="G88" s="16" t="n">
        <v>31845</v>
      </c>
      <c r="H88" s="16" t="n">
        <v>31884</v>
      </c>
      <c r="I88" s="16">
        <f>H88-G88</f>
        <v/>
      </c>
    </row>
    <row r="89">
      <c r="A89" s="13" t="n">
        <v>63</v>
      </c>
      <c r="B89" s="14" t="n">
        <v>45900</v>
      </c>
      <c r="C89" s="14" t="n">
        <v>45900</v>
      </c>
      <c r="D89" s="13" t="inlineStr">
        <is>
          <t>Business</t>
        </is>
      </c>
      <c r="E89" s="15" t="inlineStr">
        <is>
          <t>Parcel delivery run</t>
        </is>
      </c>
      <c r="F89" s="15" t="inlineStr">
        <is>
          <t>Mount Gravatt</t>
        </is>
      </c>
      <c r="G89" s="16" t="n">
        <v>31884</v>
      </c>
      <c r="H89" s="16" t="n">
        <v>32000</v>
      </c>
      <c r="I89" s="16">
        <f>H89-G89</f>
        <v/>
      </c>
    </row>
    <row r="90">
      <c r="A90" s="17" t="inlineStr">
        <is>
          <t>Total</t>
        </is>
      </c>
      <c r="B90" s="15" t="n"/>
      <c r="C90" s="15" t="n"/>
      <c r="D90" s="15" t="n"/>
      <c r="E90" s="15" t="n"/>
      <c r="F90" s="18" t="inlineStr">
        <is>
          <t>Total kilometres</t>
        </is>
      </c>
      <c r="G90" s="15" t="n"/>
      <c r="H90" s="15" t="n"/>
      <c r="I90" s="19">
        <f>SUM(I27:I89)</f>
        <v/>
      </c>
    </row>
    <row r="91">
      <c r="F91" s="18" t="inlineStr">
        <is>
          <t>Business kilometres</t>
        </is>
      </c>
      <c r="I91" s="19">
        <f>SUMIF($D$27:$D$89,"Business",$I$27:$I$89)</f>
        <v/>
      </c>
    </row>
    <row r="92">
      <c r="F92" s="18" t="inlineStr">
        <is>
          <t>Private kilometres</t>
        </is>
      </c>
      <c r="I92" s="19">
        <f>SUMIF($D$27:$D$89,"Private",$I$27:$I$89)</f>
        <v/>
      </c>
    </row>
    <row r="93">
      <c r="F93" s="18" t="inlineStr">
        <is>
          <t>Business-use percentage</t>
        </is>
      </c>
      <c r="I93" s="20">
        <f>IFERROR(I91/I90,0)</f>
        <v/>
      </c>
    </row>
    <row r="96">
      <c r="A96" s="3" t="inlineStr">
        <is>
          <t>Odometer readings for each income year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30" customHeight="1">
      <c r="B97" s="12" t="inlineStr">
        <is>
          <t>Income year</t>
        </is>
      </c>
      <c r="C97" s="12" t="inlineStr">
        <is>
          <t>Odometer at start of year</t>
        </is>
      </c>
      <c r="D97" s="12" t="inlineStr">
        <is>
          <t>Odometer at end of year</t>
        </is>
      </c>
      <c r="E97" s="12" t="inlineStr">
        <is>
          <t>Total km for the year</t>
        </is>
      </c>
      <c r="F97" s="12" t="inlineStr">
        <is>
          <t>Business km at the logbook percentage</t>
        </is>
      </c>
    </row>
    <row r="98">
      <c r="B98" s="13" t="inlineStr">
        <is>
          <t>2025-26</t>
        </is>
      </c>
      <c r="C98" s="16" t="n">
        <v>25954</v>
      </c>
      <c r="D98" s="16" t="n"/>
      <c r="E98" s="16">
        <f>IF(COUNT(C98:D98)=2,D98-C98,"")</f>
        <v/>
      </c>
      <c r="F98" s="16">
        <f>IF(ISNUMBER(E98),ROUND(E98*$D$23,0),"")</f>
        <v/>
      </c>
    </row>
    <row r="99">
      <c r="B99" s="13" t="inlineStr">
        <is>
          <t>2026-27</t>
        </is>
      </c>
      <c r="C99" s="16" t="n"/>
      <c r="D99" s="16" t="n"/>
      <c r="E99" s="16">
        <f>IF(COUNT(C99:D99)=2,D99-C99,"")</f>
        <v/>
      </c>
      <c r="F99" s="16">
        <f>IF(ISNUMBER(E99),ROUND(E99*$D$23,0),"")</f>
        <v/>
      </c>
    </row>
    <row r="100">
      <c r="B100" s="13" t="inlineStr">
        <is>
          <t>2027-28</t>
        </is>
      </c>
      <c r="C100" s="16" t="n"/>
      <c r="D100" s="16" t="n"/>
      <c r="E100" s="16">
        <f>IF(COUNT(C100:D100)=2,D100-C100,"")</f>
        <v/>
      </c>
      <c r="F100" s="16">
        <f>IF(ISNUMBER(E100),ROUND(E100*$D$23,0),"")</f>
        <v/>
      </c>
    </row>
    <row r="101">
      <c r="B101" s="13" t="inlineStr">
        <is>
          <t>2028-29</t>
        </is>
      </c>
      <c r="C101" s="16" t="n"/>
      <c r="D101" s="16" t="n"/>
      <c r="E101" s="16">
        <f>IF(COUNT(C101:D101)=2,D101-C101,"")</f>
        <v/>
      </c>
      <c r="F101" s="16">
        <f>IF(ISNUMBER(E101),ROUND(E101*$D$23,0),"")</f>
        <v/>
      </c>
    </row>
    <row r="102">
      <c r="B102" s="13" t="inlineStr">
        <is>
          <t>2029-30</t>
        </is>
      </c>
      <c r="C102" s="16" t="n"/>
      <c r="D102" s="16" t="n"/>
      <c r="E102" s="16">
        <f>IF(COUNT(C102:D102)=2,D102-C102,"")</f>
        <v/>
      </c>
      <c r="F102" s="16">
        <f>IF(ISNUMBER(E102),ROUND(E102*$D$23,0),"")</f>
        <v/>
      </c>
    </row>
  </sheetData>
  <mergeCells count="38">
    <mergeCell ref="D13:I13"/>
    <mergeCell ref="D17:I17"/>
    <mergeCell ref="A21:C21"/>
    <mergeCell ref="A12:I12"/>
    <mergeCell ref="D16:I16"/>
    <mergeCell ref="D7:I7"/>
    <mergeCell ref="A2:I2"/>
    <mergeCell ref="A5:C5"/>
    <mergeCell ref="A23:C23"/>
    <mergeCell ref="A8:C8"/>
    <mergeCell ref="A14:C14"/>
    <mergeCell ref="A22:C22"/>
    <mergeCell ref="D9:I9"/>
    <mergeCell ref="A17:C17"/>
    <mergeCell ref="A4:I4"/>
    <mergeCell ref="A20:C20"/>
    <mergeCell ref="D8:I8"/>
    <mergeCell ref="A96:I96"/>
    <mergeCell ref="D15:I15"/>
    <mergeCell ref="A10:C10"/>
    <mergeCell ref="D24:I24"/>
    <mergeCell ref="A13:C13"/>
    <mergeCell ref="A19:I19"/>
    <mergeCell ref="D14:I14"/>
    <mergeCell ref="D5:I5"/>
    <mergeCell ref="D23:I23"/>
    <mergeCell ref="A9:C9"/>
    <mergeCell ref="D20:I20"/>
    <mergeCell ref="A15:C15"/>
    <mergeCell ref="A24:C24"/>
    <mergeCell ref="D10:I10"/>
    <mergeCell ref="D22:I22"/>
    <mergeCell ref="A6:C6"/>
    <mergeCell ref="A1:I1"/>
    <mergeCell ref="D6:I6"/>
    <mergeCell ref="A7:C7"/>
    <mergeCell ref="D21:I21"/>
    <mergeCell ref="A16:C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 logbook generator</dc:creator>
  <dc:title xmlns:dc="http://purl.org/dc/elements/1.1/">Motor vehicle logbook</dc:title>
  <dcterms:created xmlns:dcterms="http://purl.org/dc/terms/" xmlns:xsi="http://www.w3.org/2001/XMLSchema-instance" xsi:type="dcterms:W3CDTF">2025-08-31T00:00:00Z</dcterms:created>
  <dcterms:modified xmlns:dcterms="http://purl.org/dc/terms/" xmlns:xsi="http://www.w3.org/2001/XMLSchema-instance" xsi:type="dcterms:W3CDTF">2025-08-31T00:00:00Z</dcterms:modified>
  <cp:lastModifiedBy>Car logbook generator</cp:lastModifiedBy>
</cp:coreProperties>
</file>