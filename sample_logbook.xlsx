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book" sheetId="1" state="visible" r:id="rId3"/>
  </sheets>
  <definedNames>
    <definedName function="false" hidden="false" localSheetId="0" name="_xlnm.Print_Titles" vbProcedure="false">Logbook!$26:$26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<sst xmlns="http://schemas.openxmlformats.org/spreadsheetml/2006/main" count="249" uniqueCount="93">
  <si>
    <t xml:space="preserve">MOTOR VEHICLE LOGBOOK</t>
  </si>
  <si>
    <t xml:space="preserve">Logbook method - record of business and private travel</t>
  </si>
  <si>
    <t xml:space="preserve">Vehicle and owner</t>
  </si>
  <si>
    <t xml:space="preserve">Driver / owner</t>
  </si>
  <si>
    <t xml:space="preserve">Yash Vadukiya</t>
  </si>
  <si>
    <t xml:space="preserve">Make</t>
  </si>
  <si>
    <t xml:space="preserve">Toyota</t>
  </si>
  <si>
    <t xml:space="preserve">Model</t>
  </si>
  <si>
    <t xml:space="preserve">Corolla Hybrid</t>
  </si>
  <si>
    <t xml:space="preserve">Year of manufacture</t>
  </si>
  <si>
    <t xml:space="preserve">2021</t>
  </si>
  <si>
    <t xml:space="preserve">Engine capacity</t>
  </si>
  <si>
    <t xml:space="preserve">1.8L</t>
  </si>
  <si>
    <t xml:space="preserve">Registration number</t>
  </si>
  <si>
    <t xml:space="preserve">ABC123</t>
  </si>
  <si>
    <t xml:space="preserve">Logbook period and odometer</t>
  </si>
  <si>
    <t xml:space="preserve">Period begins</t>
  </si>
  <si>
    <t xml:space="preserve">Period ends</t>
  </si>
  <si>
    <t xml:space="preserve">Odometer reading at start of period</t>
  </si>
  <si>
    <t xml:space="preserve">Odometer reading at end of period</t>
  </si>
  <si>
    <t xml:space="preserve">Total kilometres travelled in period</t>
  </si>
  <si>
    <t xml:space="preserve">Business use</t>
  </si>
  <si>
    <t xml:space="preserve">Income earned in the period</t>
  </si>
  <si>
    <t xml:space="preserve">Business kilometres</t>
  </si>
  <si>
    <t xml:space="preserve">Private kilometres</t>
  </si>
  <si>
    <t xml:space="preserve">BUSINESS-USE PERCENTAGE</t>
  </si>
  <si>
    <t xml:space="preserve">Logbook valid until (5 years)</t>
  </si>
  <si>
    <t xml:space="preserve">No.</t>
  </si>
  <si>
    <t xml:space="preserve">Journey start date</t>
  </si>
  <si>
    <t xml:space="preserve">Journey end date</t>
  </si>
  <si>
    <t xml:space="preserve">Purpose</t>
  </si>
  <si>
    <t xml:space="preserve">Reason for journey</t>
  </si>
  <si>
    <t xml:space="preserve">Destination</t>
  </si>
  <si>
    <t xml:space="preserve">Odometer start</t>
  </si>
  <si>
    <t xml:space="preserve">Odometer end</t>
  </si>
  <si>
    <t xml:space="preserve">Kilometres</t>
  </si>
  <si>
    <t xml:space="preserve">Private</t>
  </si>
  <si>
    <t xml:space="preserve">Private use - visiting friends</t>
  </si>
  <si>
    <t xml:space="preserve">Private use - personal travel</t>
  </si>
  <si>
    <t xml:space="preserve">Business</t>
  </si>
  <si>
    <t xml:space="preserve">Rideshare fares - morning peak</t>
  </si>
  <si>
    <t xml:space="preserve">West End / Hamilton</t>
  </si>
  <si>
    <t xml:space="preserve">Food delivery run</t>
  </si>
  <si>
    <t xml:space="preserve">Aspley / Carindale</t>
  </si>
  <si>
    <t xml:space="preserve">Private use - personal errands</t>
  </si>
  <si>
    <t xml:space="preserve">Courier pickups and drop-offs</t>
  </si>
  <si>
    <t xml:space="preserve">Sunnybank</t>
  </si>
  <si>
    <t xml:space="preserve">Rideshare fares - event and venue pickups</t>
  </si>
  <si>
    <t xml:space="preserve">Chermside / West End</t>
  </si>
  <si>
    <t xml:space="preserve">Private use - shopping trip</t>
  </si>
  <si>
    <t xml:space="preserve">Multi-drop delivery round</t>
  </si>
  <si>
    <t xml:space="preserve">Nundah</t>
  </si>
  <si>
    <t xml:space="preserve">Private use - weekend outing</t>
  </si>
  <si>
    <t xml:space="preserve">Newstead / Springwood</t>
  </si>
  <si>
    <t xml:space="preserve">Food delivery - dinner peak</t>
  </si>
  <si>
    <t xml:space="preserve">Toowong / Carindale</t>
  </si>
  <si>
    <t xml:space="preserve">Rideshare fares - evening shift</t>
  </si>
  <si>
    <t xml:space="preserve">Chermside</t>
  </si>
  <si>
    <t xml:space="preserve">Private use - family travel</t>
  </si>
  <si>
    <t xml:space="preserve">Fortitude Valley / Newstead</t>
  </si>
  <si>
    <t xml:space="preserve">Late night delivery run</t>
  </si>
  <si>
    <t xml:space="preserve">North Lakes</t>
  </si>
  <si>
    <t xml:space="preserve">Kedron / Carindale</t>
  </si>
  <si>
    <t xml:space="preserve">Rideshare fares - airport transfers</t>
  </si>
  <si>
    <t xml:space="preserve">Logan Central</t>
  </si>
  <si>
    <t xml:space="preserve">South Bank</t>
  </si>
  <si>
    <t xml:space="preserve">West End</t>
  </si>
  <si>
    <t xml:space="preserve">Grocery delivery run</t>
  </si>
  <si>
    <t xml:space="preserve">Toowong</t>
  </si>
  <si>
    <t xml:space="preserve">Fortitude Valley / Hamilton</t>
  </si>
  <si>
    <t xml:space="preserve">Newstead</t>
  </si>
  <si>
    <t xml:space="preserve">Rideshare fares - suburban runs</t>
  </si>
  <si>
    <t xml:space="preserve">Springwood</t>
  </si>
  <si>
    <t xml:space="preserve">Rideshare fares - passenger trips</t>
  </si>
  <si>
    <t xml:space="preserve">Food delivery - lunch peak</t>
  </si>
  <si>
    <t xml:space="preserve">Carindale</t>
  </si>
  <si>
    <t xml:space="preserve">Sunnybank / Aspley</t>
  </si>
  <si>
    <t xml:space="preserve">Brisbane Airport / Logan Central</t>
  </si>
  <si>
    <t xml:space="preserve">Parcel delivery run</t>
  </si>
  <si>
    <t xml:space="preserve">Total</t>
  </si>
  <si>
    <t xml:space="preserve">Total kilometres</t>
  </si>
  <si>
    <t xml:space="preserve">Business-use percentage</t>
  </si>
  <si>
    <t xml:space="preserve">Odometer readings for each income year</t>
  </si>
  <si>
    <t xml:space="preserve">Income year</t>
  </si>
  <si>
    <t xml:space="preserve">Odometer at start of year</t>
  </si>
  <si>
    <t xml:space="preserve">Odometer at end of year</t>
  </si>
  <si>
    <t xml:space="preserve">Total km for the year</t>
  </si>
  <si>
    <t xml:space="preserve">Business km at the logbook percentage</t>
  </si>
  <si>
    <t xml:space="preserve">2025-26</t>
  </si>
  <si>
    <t xml:space="preserve">2026-27</t>
  </si>
  <si>
    <t xml:space="preserve">2027-28</t>
  </si>
  <si>
    <t xml:space="preserve">2028-29</t>
  </si>
  <si>
    <t xml:space="preserve">2029-30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</si>
</sst>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\$#,##0.0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8" min="7" style="0" width="15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 t="s">
        <v>3</v>
      </c>
      <c r="B5" s="4"/>
      <c r="C5" s="4"/>
      <c r="D5" s="5" t="s">
        <v>4</v>
      </c>
      <c r="E5" s="5"/>
      <c r="F5" s="5"/>
      <c r="G5" s="5"/>
      <c r="H5" s="5"/>
      <c r="I5" s="5"/>
    </row>
    <row r="6" customFormat="false" ht="15" hidden="false" customHeight="false" outlineLevel="0" collapsed="false">
      <c r="A6" s="4" t="s">
        <v>5</v>
      </c>
      <c r="B6" s="4"/>
      <c r="C6" s="4"/>
      <c r="D6" s="5" t="s">
        <v>6</v>
      </c>
      <c r="E6" s="5"/>
      <c r="F6" s="5"/>
      <c r="G6" s="5"/>
      <c r="H6" s="5"/>
      <c r="I6" s="5"/>
    </row>
    <row r="7" customFormat="false" ht="15" hidden="false" customHeight="false" outlineLevel="0" collapsed="false">
      <c r="A7" s="4" t="s">
        <v>7</v>
      </c>
      <c r="B7" s="4"/>
      <c r="C7" s="4"/>
      <c r="D7" s="5" t="s">
        <v>8</v>
      </c>
      <c r="E7" s="5"/>
      <c r="F7" s="5"/>
      <c r="G7" s="5"/>
      <c r="H7" s="5"/>
      <c r="I7" s="5"/>
    </row>
    <row r="8" customFormat="false" ht="15" hidden="false" customHeight="false" outlineLevel="0" collapsed="false">
      <c r="A8" s="4" t="s">
        <v>9</v>
      </c>
      <c r="B8" s="4"/>
      <c r="C8" s="4"/>
      <c r="D8" s="5" t="s">
        <v>10</v>
      </c>
      <c r="E8" s="5"/>
      <c r="F8" s="5"/>
      <c r="G8" s="5"/>
      <c r="H8" s="5"/>
      <c r="I8" s="5"/>
    </row>
    <row r="9" customFormat="false" ht="15" hidden="false" customHeight="false" outlineLevel="0" collapsed="false">
      <c r="A9" s="4" t="s">
        <v>11</v>
      </c>
      <c r="B9" s="4"/>
      <c r="C9" s="4"/>
      <c r="D9" s="5" t="s">
        <v>12</v>
      </c>
      <c r="E9" s="5"/>
      <c r="F9" s="5"/>
      <c r="G9" s="5"/>
      <c r="H9" s="5"/>
      <c r="I9" s="5"/>
    </row>
    <row r="10" customFormat="false" ht="15" hidden="false" customHeight="false" outlineLevel="0" collapsed="false">
      <c r="A10" s="4" t="s">
        <v>13</v>
      </c>
      <c r="B10" s="4"/>
      <c r="C10" s="4"/>
      <c r="D10" s="5" t="s">
        <v>14</v>
      </c>
      <c r="E10" s="5"/>
      <c r="F10" s="5"/>
      <c r="G10" s="5"/>
      <c r="H10" s="5"/>
      <c r="I10" s="5"/>
    </row>
    <row r="12" customFormat="false" ht="15" hidden="false" customHeight="false" outlineLevel="0" collapsed="false">
      <c r="A12" s="3" t="s">
        <v>15</v>
      </c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4" t="s">
        <v>16</v>
      </c>
      <c r="B13" s="4"/>
      <c r="C13" s="4"/>
      <c r="D13" s="6" t="n">
        <v>45839</v>
      </c>
      <c r="E13" s="6"/>
      <c r="F13" s="6"/>
      <c r="G13" s="6"/>
      <c r="H13" s="6"/>
      <c r="I13" s="6"/>
    </row>
    <row r="14" customFormat="false" ht="15" hidden="false" customHeight="false" outlineLevel="0" collapsed="false">
      <c r="A14" s="4" t="s">
        <v>17</v>
      </c>
      <c r="B14" s="4"/>
      <c r="C14" s="4"/>
      <c r="D14" s="6" t="n">
        <v>45922</v>
      </c>
      <c r="E14" s="6"/>
      <c r="F14" s="6"/>
      <c r="G14" s="6"/>
      <c r="H14" s="6"/>
      <c r="I14" s="6"/>
    </row>
    <row r="15" customFormat="false" ht="15" hidden="false" customHeight="false" outlineLevel="0" collapsed="false">
      <c r="A15" s="4" t="s">
        <v>18</v>
      </c>
      <c r="B15" s="4"/>
      <c r="C15" s="4"/>
      <c r="D15" s="7" t="n">
        <v>45230</v>
      </c>
      <c r="E15" s="7"/>
      <c r="F15" s="7"/>
      <c r="G15" s="7"/>
      <c r="H15" s="7"/>
      <c r="I15" s="7"/>
    </row>
    <row r="16" customFormat="false" ht="15" hidden="false" customHeight="false" outlineLevel="0" collapsed="false">
      <c r="A16" s="4" t="s">
        <v>19</v>
      </c>
      <c r="B16" s="4"/>
      <c r="C16" s="4"/>
      <c r="D16" s="7" t="n">
        <v>55230</v>
      </c>
      <c r="E16" s="7"/>
      <c r="F16" s="7"/>
      <c r="G16" s="7"/>
      <c r="H16" s="7"/>
      <c r="I16" s="7"/>
    </row>
    <row r="17" customFormat="false" ht="15" hidden="false" customHeight="false" outlineLevel="0" collapsed="false">
      <c r="A17" s="4" t="s">
        <v>20</v>
      </c>
      <c r="B17" s="4"/>
      <c r="C17" s="4"/>
      <c r="D17" s="8" t="n">
        <f aca="false">D16-D15</f>
        <v>10000</v>
      </c>
      <c r="E17" s="8"/>
      <c r="F17" s="8"/>
      <c r="G17" s="8"/>
      <c r="H17" s="8"/>
      <c r="I17" s="8"/>
    </row>
    <row r="19" customFormat="false" ht="15" hidden="false" customHeight="false" outlineLevel="0" collapsed="false">
      <c r="A19" s="3" t="s">
        <v>21</v>
      </c>
      <c r="B19" s="3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4" t="s">
        <v>22</v>
      </c>
      <c r="B20" s="4"/>
      <c r="C20" s="4"/>
      <c r="D20" s="9" t="n">
        <v>13667</v>
      </c>
      <c r="E20" s="9"/>
      <c r="F20" s="9"/>
      <c r="G20" s="9"/>
      <c r="H20" s="9"/>
      <c r="I20" s="9"/>
    </row>
    <row r="21" customFormat="false" ht="15" hidden="false" customHeight="false" outlineLevel="0" collapsed="false">
      <c r="A21" s="4" t="s">
        <v>23</v>
      </c>
      <c r="B21" s="4"/>
      <c r="C21" s="4"/>
      <c r="D21" s="7" t="n">
        <f aca="false">I111</f>
        <v>6834</v>
      </c>
      <c r="E21" s="7"/>
      <c r="F21" s="7"/>
      <c r="G21" s="7"/>
      <c r="H21" s="7"/>
      <c r="I21" s="7"/>
    </row>
    <row r="22" customFormat="false" ht="15" hidden="false" customHeight="false" outlineLevel="0" collapsed="false">
      <c r="A22" s="4" t="s">
        <v>24</v>
      </c>
      <c r="B22" s="4"/>
      <c r="C22" s="4"/>
      <c r="D22" s="7" t="n">
        <f aca="false">I112</f>
        <v>3166</v>
      </c>
      <c r="E22" s="7"/>
      <c r="F22" s="7"/>
      <c r="G22" s="7"/>
      <c r="H22" s="7"/>
      <c r="I22" s="7"/>
    </row>
    <row r="23" customFormat="false" ht="15" hidden="false" customHeight="false" outlineLevel="0" collapsed="false">
      <c r="A23" s="4" t="s">
        <v>25</v>
      </c>
      <c r="B23" s="4"/>
      <c r="C23" s="4"/>
      <c r="D23" s="10" t="n">
        <f aca="false">IFERROR(D21/D17,0)</f>
        <v>0.6834</v>
      </c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4" t="s">
        <v>26</v>
      </c>
      <c r="B24" s="4"/>
      <c r="C24" s="4"/>
      <c r="D24" s="6" t="n">
        <f aca="false">DATE(YEAR(D14)+5,MONTH(D14),DAY(D14))</f>
        <v>47748</v>
      </c>
      <c r="E24" s="6"/>
      <c r="F24" s="6"/>
      <c r="G24" s="6"/>
      <c r="H24" s="6"/>
      <c r="I24" s="6"/>
    </row>
    <row r="26" customFormat="false" ht="30" hidden="false" customHeight="true" outlineLevel="0" collapsed="false">
      <c r="A26" s="11" t="s">
        <v>27</v>
      </c>
      <c r="B26" s="11" t="s">
        <v>28</v>
      </c>
      <c r="C26" s="11" t="s">
        <v>29</v>
      </c>
      <c r="D26" s="11" t="s">
        <v>30</v>
      </c>
      <c r="E26" s="11" t="s">
        <v>31</v>
      </c>
      <c r="F26" s="11" t="s">
        <v>32</v>
      </c>
      <c r="G26" s="11" t="s">
        <v>33</v>
      </c>
      <c r="H26" s="11" t="s">
        <v>34</v>
      </c>
      <c r="I26" s="11" t="s">
        <v>35</v>
      </c>
    </row>
    <row r="27" customFormat="false" ht="15" hidden="false" customHeight="false" outlineLevel="0" collapsed="false">
      <c r="A27" s="12" t="n">
        <v>1</v>
      </c>
      <c r="B27" s="13" t="n">
        <v>45840</v>
      </c>
      <c r="C27" s="13" t="n">
        <v>45840</v>
      </c>
      <c r="D27" s="12" t="s">
        <v>36</v>
      </c>
      <c r="E27" s="14" t="s">
        <v>37</v>
      </c>
      <c r="F27" s="14"/>
      <c r="G27" s="15" t="n">
        <v>45230</v>
      </c>
      <c r="H27" s="15" t="n">
        <v>45278</v>
      </c>
      <c r="I27" s="15" t="n">
        <f aca="false">H27-G27</f>
        <v>48</v>
      </c>
    </row>
    <row r="28" customFormat="false" ht="15" hidden="false" customHeight="false" outlineLevel="0" collapsed="false">
      <c r="A28" s="12" t="n">
        <v>2</v>
      </c>
      <c r="B28" s="13" t="n">
        <v>45841</v>
      </c>
      <c r="C28" s="13" t="n">
        <v>45841</v>
      </c>
      <c r="D28" s="12" t="s">
        <v>36</v>
      </c>
      <c r="E28" s="14" t="s">
        <v>38</v>
      </c>
      <c r="F28" s="14"/>
      <c r="G28" s="15" t="n">
        <v>45278</v>
      </c>
      <c r="H28" s="15" t="n">
        <v>45346</v>
      </c>
      <c r="I28" s="15" t="n">
        <f aca="false">H28-G28</f>
        <v>68</v>
      </c>
    </row>
    <row r="29" customFormat="false" ht="15" hidden="false" customHeight="false" outlineLevel="0" collapsed="false">
      <c r="A29" s="12" t="n">
        <v>3</v>
      </c>
      <c r="B29" s="13" t="n">
        <v>45842</v>
      </c>
      <c r="C29" s="13" t="n">
        <v>45842</v>
      </c>
      <c r="D29" s="12" t="s">
        <v>39</v>
      </c>
      <c r="E29" s="14" t="s">
        <v>40</v>
      </c>
      <c r="F29" s="14" t="s">
        <v>41</v>
      </c>
      <c r="G29" s="15" t="n">
        <v>45346</v>
      </c>
      <c r="H29" s="15" t="n">
        <v>45669</v>
      </c>
      <c r="I29" s="15" t="n">
        <f aca="false">H29-G29</f>
        <v>323</v>
      </c>
    </row>
    <row r="30" customFormat="false" ht="15" hidden="false" customHeight="false" outlineLevel="0" collapsed="false">
      <c r="A30" s="12" t="n">
        <v>4</v>
      </c>
      <c r="B30" s="13" t="n">
        <v>45843</v>
      </c>
      <c r="C30" s="13" t="n">
        <v>45843</v>
      </c>
      <c r="D30" s="12" t="s">
        <v>36</v>
      </c>
      <c r="E30" s="14" t="s">
        <v>37</v>
      </c>
      <c r="F30" s="14"/>
      <c r="G30" s="15" t="n">
        <v>45669</v>
      </c>
      <c r="H30" s="15" t="n">
        <v>45736</v>
      </c>
      <c r="I30" s="15" t="n">
        <f aca="false">H30-G30</f>
        <v>67</v>
      </c>
    </row>
    <row r="31" customFormat="false" ht="15" hidden="false" customHeight="false" outlineLevel="0" collapsed="false">
      <c r="A31" s="12" t="n">
        <v>5</v>
      </c>
      <c r="B31" s="13" t="n">
        <v>45844</v>
      </c>
      <c r="C31" s="13" t="n">
        <v>45844</v>
      </c>
      <c r="D31" s="12" t="s">
        <v>39</v>
      </c>
      <c r="E31" s="14" t="s">
        <v>42</v>
      </c>
      <c r="F31" s="14" t="s">
        <v>43</v>
      </c>
      <c r="G31" s="15" t="n">
        <v>45736</v>
      </c>
      <c r="H31" s="15" t="n">
        <v>46056</v>
      </c>
      <c r="I31" s="15" t="n">
        <f aca="false">H31-G31</f>
        <v>320</v>
      </c>
    </row>
    <row r="32" customFormat="false" ht="15" hidden="false" customHeight="false" outlineLevel="0" collapsed="false">
      <c r="A32" s="12" t="n">
        <v>6</v>
      </c>
      <c r="B32" s="13" t="n">
        <v>45844</v>
      </c>
      <c r="C32" s="13" t="n">
        <v>45844</v>
      </c>
      <c r="D32" s="12" t="s">
        <v>36</v>
      </c>
      <c r="E32" s="14" t="s">
        <v>37</v>
      </c>
      <c r="F32" s="14"/>
      <c r="G32" s="15" t="n">
        <v>46056</v>
      </c>
      <c r="H32" s="15" t="n">
        <v>46084</v>
      </c>
      <c r="I32" s="15" t="n">
        <f aca="false">H32-G32</f>
        <v>28</v>
      </c>
    </row>
    <row r="33" customFormat="false" ht="15" hidden="false" customHeight="false" outlineLevel="0" collapsed="false">
      <c r="A33" s="12" t="n">
        <v>7</v>
      </c>
      <c r="B33" s="13" t="n">
        <v>45846</v>
      </c>
      <c r="C33" s="13" t="n">
        <v>45846</v>
      </c>
      <c r="D33" s="12" t="s">
        <v>36</v>
      </c>
      <c r="E33" s="14" t="s">
        <v>38</v>
      </c>
      <c r="F33" s="14"/>
      <c r="G33" s="15" t="n">
        <v>46084</v>
      </c>
      <c r="H33" s="15" t="n">
        <v>46135</v>
      </c>
      <c r="I33" s="15" t="n">
        <f aca="false">H33-G33</f>
        <v>51</v>
      </c>
    </row>
    <row r="34" customFormat="false" ht="15" hidden="false" customHeight="false" outlineLevel="0" collapsed="false">
      <c r="A34" s="12" t="n">
        <v>8</v>
      </c>
      <c r="B34" s="13" t="n">
        <v>45847</v>
      </c>
      <c r="C34" s="13" t="n">
        <v>45847</v>
      </c>
      <c r="D34" s="12" t="s">
        <v>36</v>
      </c>
      <c r="E34" s="14" t="s">
        <v>44</v>
      </c>
      <c r="F34" s="14"/>
      <c r="G34" s="15" t="n">
        <v>46135</v>
      </c>
      <c r="H34" s="15" t="n">
        <v>46198</v>
      </c>
      <c r="I34" s="15" t="n">
        <f aca="false">H34-G34</f>
        <v>63</v>
      </c>
    </row>
    <row r="35" customFormat="false" ht="15" hidden="false" customHeight="false" outlineLevel="0" collapsed="false">
      <c r="A35" s="12" t="n">
        <v>9</v>
      </c>
      <c r="B35" s="13" t="n">
        <v>45849</v>
      </c>
      <c r="C35" s="13" t="n">
        <v>45849</v>
      </c>
      <c r="D35" s="12" t="s">
        <v>39</v>
      </c>
      <c r="E35" s="14" t="s">
        <v>45</v>
      </c>
      <c r="F35" s="14" t="s">
        <v>46</v>
      </c>
      <c r="G35" s="15" t="n">
        <v>46198</v>
      </c>
      <c r="H35" s="15" t="n">
        <v>46451</v>
      </c>
      <c r="I35" s="15" t="n">
        <f aca="false">H35-G35</f>
        <v>253</v>
      </c>
    </row>
    <row r="36" customFormat="false" ht="15" hidden="false" customHeight="false" outlineLevel="0" collapsed="false">
      <c r="A36" s="12" t="n">
        <v>10</v>
      </c>
      <c r="B36" s="13" t="n">
        <v>45850</v>
      </c>
      <c r="C36" s="13" t="n">
        <v>45850</v>
      </c>
      <c r="D36" s="12" t="s">
        <v>39</v>
      </c>
      <c r="E36" s="14" t="s">
        <v>47</v>
      </c>
      <c r="F36" s="14" t="s">
        <v>48</v>
      </c>
      <c r="G36" s="15" t="n">
        <v>46451</v>
      </c>
      <c r="H36" s="15" t="n">
        <v>46710</v>
      </c>
      <c r="I36" s="15" t="n">
        <f aca="false">H36-G36</f>
        <v>259</v>
      </c>
    </row>
    <row r="37" customFormat="false" ht="15" hidden="false" customHeight="false" outlineLevel="0" collapsed="false">
      <c r="A37" s="12" t="n">
        <v>11</v>
      </c>
      <c r="B37" s="13" t="n">
        <v>45850</v>
      </c>
      <c r="C37" s="13" t="n">
        <v>45850</v>
      </c>
      <c r="D37" s="12" t="s">
        <v>36</v>
      </c>
      <c r="E37" s="14" t="s">
        <v>49</v>
      </c>
      <c r="F37" s="14"/>
      <c r="G37" s="15" t="n">
        <v>46710</v>
      </c>
      <c r="H37" s="15" t="n">
        <v>46767</v>
      </c>
      <c r="I37" s="15" t="n">
        <f aca="false">H37-G37</f>
        <v>57</v>
      </c>
    </row>
    <row r="38" customFormat="false" ht="15" hidden="false" customHeight="false" outlineLevel="0" collapsed="false">
      <c r="A38" s="12" t="n">
        <v>12</v>
      </c>
      <c r="B38" s="13" t="n">
        <v>45851</v>
      </c>
      <c r="C38" s="13" t="n">
        <v>45851</v>
      </c>
      <c r="D38" s="12" t="s">
        <v>39</v>
      </c>
      <c r="E38" s="14" t="s">
        <v>50</v>
      </c>
      <c r="F38" s="14" t="s">
        <v>51</v>
      </c>
      <c r="G38" s="15" t="n">
        <v>46767</v>
      </c>
      <c r="H38" s="15" t="n">
        <v>46985</v>
      </c>
      <c r="I38" s="15" t="n">
        <f aca="false">H38-G38</f>
        <v>218</v>
      </c>
    </row>
    <row r="39" customFormat="false" ht="15" hidden="false" customHeight="false" outlineLevel="0" collapsed="false">
      <c r="A39" s="12" t="n">
        <v>13</v>
      </c>
      <c r="B39" s="13" t="n">
        <v>45851</v>
      </c>
      <c r="C39" s="13" t="n">
        <v>45851</v>
      </c>
      <c r="D39" s="12" t="s">
        <v>36</v>
      </c>
      <c r="E39" s="14" t="s">
        <v>49</v>
      </c>
      <c r="F39" s="14"/>
      <c r="G39" s="15" t="n">
        <v>46985</v>
      </c>
      <c r="H39" s="15" t="n">
        <v>47041</v>
      </c>
      <c r="I39" s="15" t="n">
        <f aca="false">H39-G39</f>
        <v>56</v>
      </c>
    </row>
    <row r="40" customFormat="false" ht="15" hidden="false" customHeight="false" outlineLevel="0" collapsed="false">
      <c r="A40" s="12" t="n">
        <v>14</v>
      </c>
      <c r="B40" s="13" t="n">
        <v>45852</v>
      </c>
      <c r="C40" s="13" t="n">
        <v>45852</v>
      </c>
      <c r="D40" s="12" t="s">
        <v>36</v>
      </c>
      <c r="E40" s="14" t="s">
        <v>52</v>
      </c>
      <c r="F40" s="14"/>
      <c r="G40" s="15" t="n">
        <v>47041</v>
      </c>
      <c r="H40" s="15" t="n">
        <v>47083</v>
      </c>
      <c r="I40" s="15" t="n">
        <f aca="false">H40-G40</f>
        <v>42</v>
      </c>
    </row>
    <row r="41" customFormat="false" ht="15" hidden="false" customHeight="false" outlineLevel="0" collapsed="false">
      <c r="A41" s="12" t="n">
        <v>15</v>
      </c>
      <c r="B41" s="13" t="n">
        <v>45853</v>
      </c>
      <c r="C41" s="13" t="n">
        <v>45853</v>
      </c>
      <c r="D41" s="12" t="s">
        <v>36</v>
      </c>
      <c r="E41" s="14" t="s">
        <v>52</v>
      </c>
      <c r="F41" s="14"/>
      <c r="G41" s="15" t="n">
        <v>47083</v>
      </c>
      <c r="H41" s="15" t="n">
        <v>47145</v>
      </c>
      <c r="I41" s="15" t="n">
        <f aca="false">H41-G41</f>
        <v>62</v>
      </c>
    </row>
    <row r="42" customFormat="false" ht="15" hidden="false" customHeight="false" outlineLevel="0" collapsed="false">
      <c r="A42" s="12" t="n">
        <v>16</v>
      </c>
      <c r="B42" s="13" t="n">
        <v>45856</v>
      </c>
      <c r="C42" s="13" t="n">
        <v>45856</v>
      </c>
      <c r="D42" s="12" t="s">
        <v>39</v>
      </c>
      <c r="E42" s="14" t="s">
        <v>47</v>
      </c>
      <c r="F42" s="14" t="s">
        <v>53</v>
      </c>
      <c r="G42" s="15" t="n">
        <v>47145</v>
      </c>
      <c r="H42" s="15" t="n">
        <v>47495</v>
      </c>
      <c r="I42" s="15" t="n">
        <f aca="false">H42-G42</f>
        <v>350</v>
      </c>
    </row>
    <row r="43" customFormat="false" ht="15" hidden="false" customHeight="false" outlineLevel="0" collapsed="false">
      <c r="A43" s="12" t="n">
        <v>17</v>
      </c>
      <c r="B43" s="13" t="n">
        <v>45856</v>
      </c>
      <c r="C43" s="13" t="n">
        <v>45856</v>
      </c>
      <c r="D43" s="12" t="s">
        <v>36</v>
      </c>
      <c r="E43" s="14" t="s">
        <v>38</v>
      </c>
      <c r="F43" s="14"/>
      <c r="G43" s="15" t="n">
        <v>47495</v>
      </c>
      <c r="H43" s="15" t="n">
        <v>47511</v>
      </c>
      <c r="I43" s="15" t="n">
        <f aca="false">H43-G43</f>
        <v>16</v>
      </c>
    </row>
    <row r="44" customFormat="false" ht="15" hidden="false" customHeight="false" outlineLevel="0" collapsed="false">
      <c r="A44" s="12" t="n">
        <v>18</v>
      </c>
      <c r="B44" s="13" t="n">
        <v>45857</v>
      </c>
      <c r="C44" s="13" t="n">
        <v>45857</v>
      </c>
      <c r="D44" s="12" t="s">
        <v>36</v>
      </c>
      <c r="E44" s="14" t="s">
        <v>38</v>
      </c>
      <c r="F44" s="14"/>
      <c r="G44" s="15" t="n">
        <v>47511</v>
      </c>
      <c r="H44" s="15" t="n">
        <v>47574</v>
      </c>
      <c r="I44" s="15" t="n">
        <f aca="false">H44-G44</f>
        <v>63</v>
      </c>
    </row>
    <row r="45" customFormat="false" ht="15" hidden="false" customHeight="false" outlineLevel="0" collapsed="false">
      <c r="A45" s="12" t="n">
        <v>19</v>
      </c>
      <c r="B45" s="13" t="n">
        <v>45858</v>
      </c>
      <c r="C45" s="13" t="n">
        <v>45858</v>
      </c>
      <c r="D45" s="12" t="s">
        <v>39</v>
      </c>
      <c r="E45" s="14" t="s">
        <v>54</v>
      </c>
      <c r="F45" s="14" t="s">
        <v>55</v>
      </c>
      <c r="G45" s="15" t="n">
        <v>47574</v>
      </c>
      <c r="H45" s="15" t="n">
        <v>47907</v>
      </c>
      <c r="I45" s="15" t="n">
        <f aca="false">H45-G45</f>
        <v>333</v>
      </c>
    </row>
    <row r="46" customFormat="false" ht="15" hidden="false" customHeight="false" outlineLevel="0" collapsed="false">
      <c r="A46" s="12" t="n">
        <v>20</v>
      </c>
      <c r="B46" s="13" t="n">
        <v>45859</v>
      </c>
      <c r="C46" s="13" t="n">
        <v>45859</v>
      </c>
      <c r="D46" s="12" t="s">
        <v>36</v>
      </c>
      <c r="E46" s="14" t="s">
        <v>38</v>
      </c>
      <c r="F46" s="14"/>
      <c r="G46" s="15" t="n">
        <v>47907</v>
      </c>
      <c r="H46" s="15" t="n">
        <v>48007</v>
      </c>
      <c r="I46" s="15" t="n">
        <f aca="false">H46-G46</f>
        <v>100</v>
      </c>
    </row>
    <row r="47" customFormat="false" ht="15" hidden="false" customHeight="false" outlineLevel="0" collapsed="false">
      <c r="A47" s="12" t="n">
        <v>21</v>
      </c>
      <c r="B47" s="13" t="n">
        <v>45860</v>
      </c>
      <c r="C47" s="13" t="n">
        <v>45860</v>
      </c>
      <c r="D47" s="12" t="s">
        <v>36</v>
      </c>
      <c r="E47" s="14" t="s">
        <v>37</v>
      </c>
      <c r="F47" s="14"/>
      <c r="G47" s="15" t="n">
        <v>48007</v>
      </c>
      <c r="H47" s="15" t="n">
        <v>48062</v>
      </c>
      <c r="I47" s="15" t="n">
        <f aca="false">H47-G47</f>
        <v>55</v>
      </c>
    </row>
    <row r="48" customFormat="false" ht="15" hidden="false" customHeight="false" outlineLevel="0" collapsed="false">
      <c r="A48" s="12" t="n">
        <v>22</v>
      </c>
      <c r="B48" s="13" t="n">
        <v>45861</v>
      </c>
      <c r="C48" s="13" t="n">
        <v>45861</v>
      </c>
      <c r="D48" s="12" t="s">
        <v>36</v>
      </c>
      <c r="E48" s="14" t="s">
        <v>49</v>
      </c>
      <c r="F48" s="14"/>
      <c r="G48" s="15" t="n">
        <v>48062</v>
      </c>
      <c r="H48" s="15" t="n">
        <v>48149</v>
      </c>
      <c r="I48" s="15" t="n">
        <f aca="false">H48-G48</f>
        <v>87</v>
      </c>
    </row>
    <row r="49" customFormat="false" ht="15" hidden="false" customHeight="false" outlineLevel="0" collapsed="false">
      <c r="A49" s="12" t="n">
        <v>23</v>
      </c>
      <c r="B49" s="13" t="n">
        <v>45862</v>
      </c>
      <c r="C49" s="13" t="n">
        <v>45862</v>
      </c>
      <c r="D49" s="12" t="s">
        <v>36</v>
      </c>
      <c r="E49" s="14" t="s">
        <v>37</v>
      </c>
      <c r="F49" s="14"/>
      <c r="G49" s="15" t="n">
        <v>48149</v>
      </c>
      <c r="H49" s="15" t="n">
        <v>48215</v>
      </c>
      <c r="I49" s="15" t="n">
        <f aca="false">H49-G49</f>
        <v>66</v>
      </c>
    </row>
    <row r="50" customFormat="false" ht="15" hidden="false" customHeight="false" outlineLevel="0" collapsed="false">
      <c r="A50" s="12" t="n">
        <v>24</v>
      </c>
      <c r="B50" s="13" t="n">
        <v>45864</v>
      </c>
      <c r="C50" s="13" t="n">
        <v>45864</v>
      </c>
      <c r="D50" s="12" t="s">
        <v>39</v>
      </c>
      <c r="E50" s="14" t="s">
        <v>56</v>
      </c>
      <c r="F50" s="14" t="s">
        <v>57</v>
      </c>
      <c r="G50" s="15" t="n">
        <v>48215</v>
      </c>
      <c r="H50" s="15" t="n">
        <v>48405</v>
      </c>
      <c r="I50" s="15" t="n">
        <f aca="false">H50-G50</f>
        <v>190</v>
      </c>
    </row>
    <row r="51" customFormat="false" ht="15" hidden="false" customHeight="false" outlineLevel="0" collapsed="false">
      <c r="A51" s="12" t="n">
        <v>25</v>
      </c>
      <c r="B51" s="13" t="n">
        <v>45864</v>
      </c>
      <c r="C51" s="13" t="n">
        <v>45864</v>
      </c>
      <c r="D51" s="12" t="s">
        <v>36</v>
      </c>
      <c r="E51" s="14" t="s">
        <v>58</v>
      </c>
      <c r="F51" s="14"/>
      <c r="G51" s="15" t="n">
        <v>48405</v>
      </c>
      <c r="H51" s="15" t="n">
        <v>48457</v>
      </c>
      <c r="I51" s="15" t="n">
        <f aca="false">H51-G51</f>
        <v>52</v>
      </c>
    </row>
    <row r="52" customFormat="false" ht="15" hidden="false" customHeight="false" outlineLevel="0" collapsed="false">
      <c r="A52" s="12" t="n">
        <v>26</v>
      </c>
      <c r="B52" s="13" t="n">
        <v>45865</v>
      </c>
      <c r="C52" s="13" t="n">
        <v>45865</v>
      </c>
      <c r="D52" s="12" t="s">
        <v>39</v>
      </c>
      <c r="E52" s="14" t="s">
        <v>47</v>
      </c>
      <c r="F52" s="14" t="s">
        <v>59</v>
      </c>
      <c r="G52" s="15" t="n">
        <v>48457</v>
      </c>
      <c r="H52" s="15" t="n">
        <v>48711</v>
      </c>
      <c r="I52" s="15" t="n">
        <f aca="false">H52-G52</f>
        <v>254</v>
      </c>
    </row>
    <row r="53" customFormat="false" ht="15" hidden="false" customHeight="false" outlineLevel="0" collapsed="false">
      <c r="A53" s="12" t="n">
        <v>27</v>
      </c>
      <c r="B53" s="13" t="n">
        <v>45869</v>
      </c>
      <c r="C53" s="13" t="n">
        <v>45869</v>
      </c>
      <c r="D53" s="12" t="s">
        <v>36</v>
      </c>
      <c r="E53" s="14" t="s">
        <v>58</v>
      </c>
      <c r="F53" s="14"/>
      <c r="G53" s="15" t="n">
        <v>48711</v>
      </c>
      <c r="H53" s="15" t="n">
        <v>48775</v>
      </c>
      <c r="I53" s="15" t="n">
        <f aca="false">H53-G53</f>
        <v>64</v>
      </c>
    </row>
    <row r="54" customFormat="false" ht="15" hidden="false" customHeight="false" outlineLevel="0" collapsed="false">
      <c r="A54" s="12" t="n">
        <v>28</v>
      </c>
      <c r="B54" s="13" t="n">
        <v>45870</v>
      </c>
      <c r="C54" s="13" t="n">
        <v>45870</v>
      </c>
      <c r="D54" s="12" t="s">
        <v>39</v>
      </c>
      <c r="E54" s="14" t="s">
        <v>60</v>
      </c>
      <c r="F54" s="14" t="s">
        <v>61</v>
      </c>
      <c r="G54" s="15" t="n">
        <v>48775</v>
      </c>
      <c r="H54" s="15" t="n">
        <v>49021</v>
      </c>
      <c r="I54" s="15" t="n">
        <f aca="false">H54-G54</f>
        <v>246</v>
      </c>
    </row>
    <row r="55" customFormat="false" ht="15" hidden="false" customHeight="false" outlineLevel="0" collapsed="false">
      <c r="A55" s="12" t="n">
        <v>29</v>
      </c>
      <c r="B55" s="13" t="n">
        <v>45870</v>
      </c>
      <c r="C55" s="13" t="n">
        <v>45870</v>
      </c>
      <c r="D55" s="12" t="s">
        <v>36</v>
      </c>
      <c r="E55" s="14" t="s">
        <v>37</v>
      </c>
      <c r="F55" s="14"/>
      <c r="G55" s="15" t="n">
        <v>49021</v>
      </c>
      <c r="H55" s="15" t="n">
        <v>49084</v>
      </c>
      <c r="I55" s="15" t="n">
        <f aca="false">H55-G55</f>
        <v>63</v>
      </c>
    </row>
    <row r="56" customFormat="false" ht="15" hidden="false" customHeight="false" outlineLevel="0" collapsed="false">
      <c r="A56" s="12" t="n">
        <v>30</v>
      </c>
      <c r="B56" s="13" t="n">
        <v>45871</v>
      </c>
      <c r="C56" s="13" t="n">
        <v>45871</v>
      </c>
      <c r="D56" s="12" t="s">
        <v>39</v>
      </c>
      <c r="E56" s="14" t="s">
        <v>42</v>
      </c>
      <c r="F56" s="14" t="s">
        <v>62</v>
      </c>
      <c r="G56" s="15" t="n">
        <v>49084</v>
      </c>
      <c r="H56" s="15" t="n">
        <v>49357</v>
      </c>
      <c r="I56" s="15" t="n">
        <f aca="false">H56-G56</f>
        <v>273</v>
      </c>
    </row>
    <row r="57" customFormat="false" ht="15" hidden="false" customHeight="false" outlineLevel="0" collapsed="false">
      <c r="A57" s="12" t="n">
        <v>31</v>
      </c>
      <c r="B57" s="13" t="n">
        <v>45871</v>
      </c>
      <c r="C57" s="13" t="n">
        <v>45871</v>
      </c>
      <c r="D57" s="12" t="s">
        <v>36</v>
      </c>
      <c r="E57" s="14" t="s">
        <v>52</v>
      </c>
      <c r="F57" s="14"/>
      <c r="G57" s="15" t="n">
        <v>49357</v>
      </c>
      <c r="H57" s="15" t="n">
        <v>49408</v>
      </c>
      <c r="I57" s="15" t="n">
        <f aca="false">H57-G57</f>
        <v>51</v>
      </c>
    </row>
    <row r="58" customFormat="false" ht="15" hidden="false" customHeight="false" outlineLevel="0" collapsed="false">
      <c r="A58" s="12" t="n">
        <v>32</v>
      </c>
      <c r="B58" s="13" t="n">
        <v>45872</v>
      </c>
      <c r="C58" s="13" t="n">
        <v>45872</v>
      </c>
      <c r="D58" s="12" t="s">
        <v>39</v>
      </c>
      <c r="E58" s="14" t="s">
        <v>63</v>
      </c>
      <c r="F58" s="14" t="s">
        <v>64</v>
      </c>
      <c r="G58" s="15" t="n">
        <v>49408</v>
      </c>
      <c r="H58" s="15" t="n">
        <v>49544</v>
      </c>
      <c r="I58" s="15" t="n">
        <f aca="false">H58-G58</f>
        <v>136</v>
      </c>
    </row>
    <row r="59" customFormat="false" ht="15" hidden="false" customHeight="false" outlineLevel="0" collapsed="false">
      <c r="A59" s="12" t="n">
        <v>33</v>
      </c>
      <c r="B59" s="13" t="n">
        <v>45872</v>
      </c>
      <c r="C59" s="13" t="n">
        <v>45872</v>
      </c>
      <c r="D59" s="12" t="s">
        <v>36</v>
      </c>
      <c r="E59" s="14" t="s">
        <v>52</v>
      </c>
      <c r="F59" s="14"/>
      <c r="G59" s="15" t="n">
        <v>49544</v>
      </c>
      <c r="H59" s="15" t="n">
        <v>49572</v>
      </c>
      <c r="I59" s="15" t="n">
        <f aca="false">H59-G59</f>
        <v>28</v>
      </c>
    </row>
    <row r="60" customFormat="false" ht="15" hidden="false" customHeight="false" outlineLevel="0" collapsed="false">
      <c r="A60" s="12" t="n">
        <v>34</v>
      </c>
      <c r="B60" s="13" t="n">
        <v>45876</v>
      </c>
      <c r="C60" s="13" t="n">
        <v>45876</v>
      </c>
      <c r="D60" s="12" t="s">
        <v>36</v>
      </c>
      <c r="E60" s="14" t="s">
        <v>38</v>
      </c>
      <c r="F60" s="14"/>
      <c r="G60" s="15" t="n">
        <v>49572</v>
      </c>
      <c r="H60" s="15" t="n">
        <v>49670</v>
      </c>
      <c r="I60" s="15" t="n">
        <f aca="false">H60-G60</f>
        <v>98</v>
      </c>
    </row>
    <row r="61" customFormat="false" ht="15" hidden="false" customHeight="false" outlineLevel="0" collapsed="false">
      <c r="A61" s="12" t="n">
        <v>35</v>
      </c>
      <c r="B61" s="13" t="n">
        <v>45877</v>
      </c>
      <c r="C61" s="13" t="n">
        <v>45877</v>
      </c>
      <c r="D61" s="12" t="s">
        <v>39</v>
      </c>
      <c r="E61" s="14" t="s">
        <v>63</v>
      </c>
      <c r="F61" s="14" t="s">
        <v>65</v>
      </c>
      <c r="G61" s="15" t="n">
        <v>49670</v>
      </c>
      <c r="H61" s="15" t="n">
        <v>49844</v>
      </c>
      <c r="I61" s="15" t="n">
        <f aca="false">H61-G61</f>
        <v>174</v>
      </c>
    </row>
    <row r="62" customFormat="false" ht="15" hidden="false" customHeight="false" outlineLevel="0" collapsed="false">
      <c r="A62" s="12" t="n">
        <v>36</v>
      </c>
      <c r="B62" s="13" t="n">
        <v>45878</v>
      </c>
      <c r="C62" s="13" t="n">
        <v>45878</v>
      </c>
      <c r="D62" s="12" t="s">
        <v>39</v>
      </c>
      <c r="E62" s="14" t="s">
        <v>54</v>
      </c>
      <c r="F62" s="14" t="s">
        <v>57</v>
      </c>
      <c r="G62" s="15" t="n">
        <v>49844</v>
      </c>
      <c r="H62" s="15" t="n">
        <v>50031</v>
      </c>
      <c r="I62" s="15" t="n">
        <f aca="false">H62-G62</f>
        <v>187</v>
      </c>
    </row>
    <row r="63" customFormat="false" ht="15" hidden="false" customHeight="false" outlineLevel="0" collapsed="false">
      <c r="A63" s="12" t="n">
        <v>37</v>
      </c>
      <c r="B63" s="13" t="n">
        <v>45878</v>
      </c>
      <c r="C63" s="13" t="n">
        <v>45878</v>
      </c>
      <c r="D63" s="12" t="s">
        <v>36</v>
      </c>
      <c r="E63" s="14" t="s">
        <v>52</v>
      </c>
      <c r="F63" s="14"/>
      <c r="G63" s="15" t="n">
        <v>50031</v>
      </c>
      <c r="H63" s="15" t="n">
        <v>50074</v>
      </c>
      <c r="I63" s="15" t="n">
        <f aca="false">H63-G63</f>
        <v>43</v>
      </c>
    </row>
    <row r="64" customFormat="false" ht="15" hidden="false" customHeight="false" outlineLevel="0" collapsed="false">
      <c r="A64" s="12" t="n">
        <v>38</v>
      </c>
      <c r="B64" s="13" t="n">
        <v>45879</v>
      </c>
      <c r="C64" s="13" t="n">
        <v>45879</v>
      </c>
      <c r="D64" s="12" t="s">
        <v>39</v>
      </c>
      <c r="E64" s="14" t="s">
        <v>56</v>
      </c>
      <c r="F64" s="14" t="s">
        <v>64</v>
      </c>
      <c r="G64" s="15" t="n">
        <v>50074</v>
      </c>
      <c r="H64" s="15" t="n">
        <v>50217</v>
      </c>
      <c r="I64" s="15" t="n">
        <f aca="false">H64-G64</f>
        <v>143</v>
      </c>
    </row>
    <row r="65" customFormat="false" ht="15" hidden="false" customHeight="false" outlineLevel="0" collapsed="false">
      <c r="A65" s="12" t="n">
        <v>39</v>
      </c>
      <c r="B65" s="13" t="n">
        <v>45879</v>
      </c>
      <c r="C65" s="13" t="n">
        <v>45879</v>
      </c>
      <c r="D65" s="12" t="s">
        <v>36</v>
      </c>
      <c r="E65" s="14" t="s">
        <v>58</v>
      </c>
      <c r="F65" s="14"/>
      <c r="G65" s="15" t="n">
        <v>50217</v>
      </c>
      <c r="H65" s="15" t="n">
        <v>50246</v>
      </c>
      <c r="I65" s="15" t="n">
        <f aca="false">H65-G65</f>
        <v>29</v>
      </c>
    </row>
    <row r="66" customFormat="false" ht="15" hidden="false" customHeight="false" outlineLevel="0" collapsed="false">
      <c r="A66" s="12" t="n">
        <v>40</v>
      </c>
      <c r="B66" s="13" t="n">
        <v>45881</v>
      </c>
      <c r="C66" s="13" t="n">
        <v>45881</v>
      </c>
      <c r="D66" s="12" t="s">
        <v>36</v>
      </c>
      <c r="E66" s="14" t="s">
        <v>58</v>
      </c>
      <c r="F66" s="14"/>
      <c r="G66" s="15" t="n">
        <v>50246</v>
      </c>
      <c r="H66" s="15" t="n">
        <v>50346</v>
      </c>
      <c r="I66" s="15" t="n">
        <f aca="false">H66-G66</f>
        <v>100</v>
      </c>
    </row>
    <row r="67" customFormat="false" ht="15" hidden="false" customHeight="false" outlineLevel="0" collapsed="false">
      <c r="A67" s="12" t="n">
        <v>41</v>
      </c>
      <c r="B67" s="13" t="n">
        <v>45882</v>
      </c>
      <c r="C67" s="13" t="n">
        <v>45882</v>
      </c>
      <c r="D67" s="12" t="s">
        <v>36</v>
      </c>
      <c r="E67" s="14" t="s">
        <v>37</v>
      </c>
      <c r="F67" s="14"/>
      <c r="G67" s="15" t="n">
        <v>50346</v>
      </c>
      <c r="H67" s="15" t="n">
        <v>50419</v>
      </c>
      <c r="I67" s="15" t="n">
        <f aca="false">H67-G67</f>
        <v>73</v>
      </c>
    </row>
    <row r="68" customFormat="false" ht="15" hidden="false" customHeight="false" outlineLevel="0" collapsed="false">
      <c r="A68" s="12" t="n">
        <v>42</v>
      </c>
      <c r="B68" s="13" t="n">
        <v>45884</v>
      </c>
      <c r="C68" s="13" t="n">
        <v>45884</v>
      </c>
      <c r="D68" s="12" t="s">
        <v>39</v>
      </c>
      <c r="E68" s="14" t="s">
        <v>47</v>
      </c>
      <c r="F68" s="14" t="s">
        <v>66</v>
      </c>
      <c r="G68" s="15" t="n">
        <v>50419</v>
      </c>
      <c r="H68" s="15" t="n">
        <v>50594</v>
      </c>
      <c r="I68" s="15" t="n">
        <f aca="false">H68-G68</f>
        <v>175</v>
      </c>
    </row>
    <row r="69" customFormat="false" ht="15" hidden="false" customHeight="false" outlineLevel="0" collapsed="false">
      <c r="A69" s="12" t="n">
        <v>43</v>
      </c>
      <c r="B69" s="13" t="n">
        <v>45885</v>
      </c>
      <c r="C69" s="13" t="n">
        <v>45885</v>
      </c>
      <c r="D69" s="12" t="s">
        <v>39</v>
      </c>
      <c r="E69" s="14" t="s">
        <v>67</v>
      </c>
      <c r="F69" s="14" t="s">
        <v>51</v>
      </c>
      <c r="G69" s="15" t="n">
        <v>50594</v>
      </c>
      <c r="H69" s="15" t="n">
        <v>50742</v>
      </c>
      <c r="I69" s="15" t="n">
        <f aca="false">H69-G69</f>
        <v>148</v>
      </c>
    </row>
    <row r="70" customFormat="false" ht="15" hidden="false" customHeight="false" outlineLevel="0" collapsed="false">
      <c r="A70" s="12" t="n">
        <v>44</v>
      </c>
      <c r="B70" s="13" t="n">
        <v>45888</v>
      </c>
      <c r="C70" s="13" t="n">
        <v>45888</v>
      </c>
      <c r="D70" s="12" t="s">
        <v>36</v>
      </c>
      <c r="E70" s="14" t="s">
        <v>37</v>
      </c>
      <c r="F70" s="14"/>
      <c r="G70" s="15" t="n">
        <v>50742</v>
      </c>
      <c r="H70" s="15" t="n">
        <v>50825</v>
      </c>
      <c r="I70" s="15" t="n">
        <f aca="false">H70-G70</f>
        <v>83</v>
      </c>
    </row>
    <row r="71" customFormat="false" ht="15" hidden="false" customHeight="false" outlineLevel="0" collapsed="false">
      <c r="A71" s="12" t="n">
        <v>45</v>
      </c>
      <c r="B71" s="13" t="n">
        <v>45891</v>
      </c>
      <c r="C71" s="13" t="n">
        <v>45891</v>
      </c>
      <c r="D71" s="12" t="s">
        <v>39</v>
      </c>
      <c r="E71" s="14" t="s">
        <v>67</v>
      </c>
      <c r="F71" s="14" t="s">
        <v>68</v>
      </c>
      <c r="G71" s="15" t="n">
        <v>50825</v>
      </c>
      <c r="H71" s="15" t="n">
        <v>51009</v>
      </c>
      <c r="I71" s="15" t="n">
        <f aca="false">H71-G71</f>
        <v>184</v>
      </c>
    </row>
    <row r="72" customFormat="false" ht="15" hidden="false" customHeight="false" outlineLevel="0" collapsed="false">
      <c r="A72" s="12" t="n">
        <v>46</v>
      </c>
      <c r="B72" s="13" t="n">
        <v>45891</v>
      </c>
      <c r="C72" s="13" t="n">
        <v>45891</v>
      </c>
      <c r="D72" s="12" t="s">
        <v>36</v>
      </c>
      <c r="E72" s="14" t="s">
        <v>38</v>
      </c>
      <c r="F72" s="14"/>
      <c r="G72" s="15" t="n">
        <v>51009</v>
      </c>
      <c r="H72" s="15" t="n">
        <v>51079</v>
      </c>
      <c r="I72" s="15" t="n">
        <f aca="false">H72-G72</f>
        <v>70</v>
      </c>
    </row>
    <row r="73" customFormat="false" ht="15" hidden="false" customHeight="false" outlineLevel="0" collapsed="false">
      <c r="A73" s="12" t="n">
        <v>47</v>
      </c>
      <c r="B73" s="13" t="n">
        <v>45892</v>
      </c>
      <c r="C73" s="13" t="n">
        <v>45892</v>
      </c>
      <c r="D73" s="12" t="s">
        <v>39</v>
      </c>
      <c r="E73" s="14" t="s">
        <v>63</v>
      </c>
      <c r="F73" s="14" t="s">
        <v>69</v>
      </c>
      <c r="G73" s="15" t="n">
        <v>51079</v>
      </c>
      <c r="H73" s="15" t="n">
        <v>51338</v>
      </c>
      <c r="I73" s="15" t="n">
        <f aca="false">H73-G73</f>
        <v>259</v>
      </c>
    </row>
    <row r="74" customFormat="false" ht="15" hidden="false" customHeight="false" outlineLevel="0" collapsed="false">
      <c r="A74" s="12" t="n">
        <v>48</v>
      </c>
      <c r="B74" s="13" t="n">
        <v>45892</v>
      </c>
      <c r="C74" s="13" t="n">
        <v>45892</v>
      </c>
      <c r="D74" s="12" t="s">
        <v>36</v>
      </c>
      <c r="E74" s="14" t="s">
        <v>38</v>
      </c>
      <c r="F74" s="14"/>
      <c r="G74" s="15" t="n">
        <v>51338</v>
      </c>
      <c r="H74" s="15" t="n">
        <v>51406</v>
      </c>
      <c r="I74" s="15" t="n">
        <f aca="false">H74-G74</f>
        <v>68</v>
      </c>
    </row>
    <row r="75" customFormat="false" ht="15" hidden="false" customHeight="false" outlineLevel="0" collapsed="false">
      <c r="A75" s="12" t="n">
        <v>49</v>
      </c>
      <c r="B75" s="13" t="n">
        <v>45893</v>
      </c>
      <c r="C75" s="13" t="n">
        <v>45893</v>
      </c>
      <c r="D75" s="12" t="s">
        <v>39</v>
      </c>
      <c r="E75" s="14" t="s">
        <v>45</v>
      </c>
      <c r="F75" s="14" t="s">
        <v>70</v>
      </c>
      <c r="G75" s="15" t="n">
        <v>51406</v>
      </c>
      <c r="H75" s="15" t="n">
        <v>51608</v>
      </c>
      <c r="I75" s="15" t="n">
        <f aca="false">H75-G75</f>
        <v>202</v>
      </c>
    </row>
    <row r="76" customFormat="false" ht="15" hidden="false" customHeight="false" outlineLevel="0" collapsed="false">
      <c r="A76" s="12" t="n">
        <v>50</v>
      </c>
      <c r="B76" s="13" t="n">
        <v>45893</v>
      </c>
      <c r="C76" s="13" t="n">
        <v>45893</v>
      </c>
      <c r="D76" s="12" t="s">
        <v>36</v>
      </c>
      <c r="E76" s="14" t="s">
        <v>49</v>
      </c>
      <c r="F76" s="14"/>
      <c r="G76" s="15" t="n">
        <v>51608</v>
      </c>
      <c r="H76" s="15" t="n">
        <v>51674</v>
      </c>
      <c r="I76" s="15" t="n">
        <f aca="false">H76-G76</f>
        <v>66</v>
      </c>
    </row>
    <row r="77" customFormat="false" ht="15" hidden="false" customHeight="false" outlineLevel="0" collapsed="false">
      <c r="A77" s="12" t="n">
        <v>51</v>
      </c>
      <c r="B77" s="13" t="n">
        <v>45894</v>
      </c>
      <c r="C77" s="13" t="n">
        <v>45894</v>
      </c>
      <c r="D77" s="12" t="s">
        <v>36</v>
      </c>
      <c r="E77" s="14" t="s">
        <v>52</v>
      </c>
      <c r="F77" s="14"/>
      <c r="G77" s="15" t="n">
        <v>51674</v>
      </c>
      <c r="H77" s="15" t="n">
        <v>51722</v>
      </c>
      <c r="I77" s="15" t="n">
        <f aca="false">H77-G77</f>
        <v>48</v>
      </c>
    </row>
    <row r="78" customFormat="false" ht="15" hidden="false" customHeight="false" outlineLevel="0" collapsed="false">
      <c r="A78" s="12" t="n">
        <v>52</v>
      </c>
      <c r="B78" s="13" t="n">
        <v>45895</v>
      </c>
      <c r="C78" s="13" t="n">
        <v>45895</v>
      </c>
      <c r="D78" s="12" t="s">
        <v>36</v>
      </c>
      <c r="E78" s="14" t="s">
        <v>58</v>
      </c>
      <c r="F78" s="14"/>
      <c r="G78" s="15" t="n">
        <v>51722</v>
      </c>
      <c r="H78" s="15" t="n">
        <v>51779</v>
      </c>
      <c r="I78" s="15" t="n">
        <f aca="false">H78-G78</f>
        <v>57</v>
      </c>
    </row>
    <row r="79" customFormat="false" ht="15" hidden="false" customHeight="false" outlineLevel="0" collapsed="false">
      <c r="A79" s="12" t="n">
        <v>53</v>
      </c>
      <c r="B79" s="13" t="n">
        <v>45896</v>
      </c>
      <c r="C79" s="13" t="n">
        <v>45896</v>
      </c>
      <c r="D79" s="12" t="s">
        <v>36</v>
      </c>
      <c r="E79" s="14" t="s">
        <v>49</v>
      </c>
      <c r="F79" s="14"/>
      <c r="G79" s="15" t="n">
        <v>51779</v>
      </c>
      <c r="H79" s="15" t="n">
        <v>51877</v>
      </c>
      <c r="I79" s="15" t="n">
        <f aca="false">H79-G79</f>
        <v>98</v>
      </c>
    </row>
    <row r="80" customFormat="false" ht="15" hidden="false" customHeight="false" outlineLevel="0" collapsed="false">
      <c r="A80" s="12" t="n">
        <v>54</v>
      </c>
      <c r="B80" s="13" t="n">
        <v>45897</v>
      </c>
      <c r="C80" s="13" t="n">
        <v>45897</v>
      </c>
      <c r="D80" s="12" t="s">
        <v>36</v>
      </c>
      <c r="E80" s="14" t="s">
        <v>52</v>
      </c>
      <c r="F80" s="14"/>
      <c r="G80" s="15" t="n">
        <v>51877</v>
      </c>
      <c r="H80" s="15" t="n">
        <v>51951</v>
      </c>
      <c r="I80" s="15" t="n">
        <f aca="false">H80-G80</f>
        <v>74</v>
      </c>
    </row>
    <row r="81" customFormat="false" ht="15" hidden="false" customHeight="false" outlineLevel="0" collapsed="false">
      <c r="A81" s="12" t="n">
        <v>55</v>
      </c>
      <c r="B81" s="13" t="n">
        <v>45899</v>
      </c>
      <c r="C81" s="13" t="n">
        <v>45899</v>
      </c>
      <c r="D81" s="12" t="s">
        <v>39</v>
      </c>
      <c r="E81" s="14" t="s">
        <v>71</v>
      </c>
      <c r="F81" s="14" t="s">
        <v>72</v>
      </c>
      <c r="G81" s="15" t="n">
        <v>51951</v>
      </c>
      <c r="H81" s="15" t="n">
        <v>52154</v>
      </c>
      <c r="I81" s="15" t="n">
        <f aca="false">H81-G81</f>
        <v>203</v>
      </c>
    </row>
    <row r="82" customFormat="false" ht="15" hidden="false" customHeight="false" outlineLevel="0" collapsed="false">
      <c r="A82" s="12" t="n">
        <v>56</v>
      </c>
      <c r="B82" s="13" t="n">
        <v>45899</v>
      </c>
      <c r="C82" s="13" t="n">
        <v>45899</v>
      </c>
      <c r="D82" s="12" t="s">
        <v>36</v>
      </c>
      <c r="E82" s="14" t="s">
        <v>37</v>
      </c>
      <c r="F82" s="14"/>
      <c r="G82" s="15" t="n">
        <v>52154</v>
      </c>
      <c r="H82" s="15" t="n">
        <v>52196</v>
      </c>
      <c r="I82" s="15" t="n">
        <f aca="false">H82-G82</f>
        <v>42</v>
      </c>
    </row>
    <row r="83" customFormat="false" ht="15" hidden="false" customHeight="false" outlineLevel="0" collapsed="false">
      <c r="A83" s="12" t="n">
        <v>57</v>
      </c>
      <c r="B83" s="13" t="n">
        <v>45900</v>
      </c>
      <c r="C83" s="13" t="n">
        <v>45900</v>
      </c>
      <c r="D83" s="12" t="s">
        <v>39</v>
      </c>
      <c r="E83" s="14" t="s">
        <v>54</v>
      </c>
      <c r="F83" s="14" t="s">
        <v>57</v>
      </c>
      <c r="G83" s="15" t="n">
        <v>52196</v>
      </c>
      <c r="H83" s="15" t="n">
        <v>52366</v>
      </c>
      <c r="I83" s="15" t="n">
        <f aca="false">H83-G83</f>
        <v>170</v>
      </c>
    </row>
    <row r="84" customFormat="false" ht="15" hidden="false" customHeight="false" outlineLevel="0" collapsed="false">
      <c r="A84" s="12" t="n">
        <v>58</v>
      </c>
      <c r="B84" s="13" t="n">
        <v>45900</v>
      </c>
      <c r="C84" s="13" t="n">
        <v>45900</v>
      </c>
      <c r="D84" s="12" t="s">
        <v>36</v>
      </c>
      <c r="E84" s="14" t="s">
        <v>38</v>
      </c>
      <c r="F84" s="14"/>
      <c r="G84" s="15" t="n">
        <v>52366</v>
      </c>
      <c r="H84" s="15" t="n">
        <v>52396</v>
      </c>
      <c r="I84" s="15" t="n">
        <f aca="false">H84-G84</f>
        <v>30</v>
      </c>
    </row>
    <row r="85" customFormat="false" ht="15" hidden="false" customHeight="false" outlineLevel="0" collapsed="false">
      <c r="A85" s="12" t="n">
        <v>59</v>
      </c>
      <c r="B85" s="13" t="n">
        <v>45901</v>
      </c>
      <c r="C85" s="13" t="n">
        <v>45901</v>
      </c>
      <c r="D85" s="12" t="s">
        <v>36</v>
      </c>
      <c r="E85" s="14" t="s">
        <v>52</v>
      </c>
      <c r="F85" s="14"/>
      <c r="G85" s="15" t="n">
        <v>52396</v>
      </c>
      <c r="H85" s="15" t="n">
        <v>52468</v>
      </c>
      <c r="I85" s="15" t="n">
        <f aca="false">H85-G85</f>
        <v>72</v>
      </c>
    </row>
    <row r="86" customFormat="false" ht="15" hidden="false" customHeight="false" outlineLevel="0" collapsed="false">
      <c r="A86" s="12" t="n">
        <v>60</v>
      </c>
      <c r="B86" s="13" t="n">
        <v>45904</v>
      </c>
      <c r="C86" s="13" t="n">
        <v>45904</v>
      </c>
      <c r="D86" s="12" t="s">
        <v>36</v>
      </c>
      <c r="E86" s="14" t="s">
        <v>49</v>
      </c>
      <c r="F86" s="14"/>
      <c r="G86" s="15" t="n">
        <v>52468</v>
      </c>
      <c r="H86" s="15" t="n">
        <v>52553</v>
      </c>
      <c r="I86" s="15" t="n">
        <f aca="false">H86-G86</f>
        <v>85</v>
      </c>
    </row>
    <row r="87" customFormat="false" ht="15" hidden="false" customHeight="false" outlineLevel="0" collapsed="false">
      <c r="A87" s="12" t="n">
        <v>61</v>
      </c>
      <c r="B87" s="13" t="n">
        <v>45905</v>
      </c>
      <c r="C87" s="13" t="n">
        <v>45905</v>
      </c>
      <c r="D87" s="12" t="s">
        <v>39</v>
      </c>
      <c r="E87" s="14" t="s">
        <v>73</v>
      </c>
      <c r="F87" s="14" t="s">
        <v>64</v>
      </c>
      <c r="G87" s="15" t="n">
        <v>52553</v>
      </c>
      <c r="H87" s="15" t="n">
        <v>52786</v>
      </c>
      <c r="I87" s="15" t="n">
        <f aca="false">H87-G87</f>
        <v>233</v>
      </c>
    </row>
    <row r="88" customFormat="false" ht="15" hidden="false" customHeight="false" outlineLevel="0" collapsed="false">
      <c r="A88" s="12" t="n">
        <v>62</v>
      </c>
      <c r="B88" s="13" t="n">
        <v>45905</v>
      </c>
      <c r="C88" s="13" t="n">
        <v>45905</v>
      </c>
      <c r="D88" s="12" t="s">
        <v>36</v>
      </c>
      <c r="E88" s="14" t="s">
        <v>58</v>
      </c>
      <c r="F88" s="14"/>
      <c r="G88" s="15" t="n">
        <v>52786</v>
      </c>
      <c r="H88" s="15" t="n">
        <v>52854</v>
      </c>
      <c r="I88" s="15" t="n">
        <f aca="false">H88-G88</f>
        <v>68</v>
      </c>
    </row>
    <row r="89" customFormat="false" ht="15" hidden="false" customHeight="false" outlineLevel="0" collapsed="false">
      <c r="A89" s="12" t="n">
        <v>63</v>
      </c>
      <c r="B89" s="13" t="n">
        <v>45906</v>
      </c>
      <c r="C89" s="13" t="n">
        <v>45906</v>
      </c>
      <c r="D89" s="12" t="s">
        <v>39</v>
      </c>
      <c r="E89" s="14" t="s">
        <v>74</v>
      </c>
      <c r="F89" s="14" t="s">
        <v>75</v>
      </c>
      <c r="G89" s="15" t="n">
        <v>52854</v>
      </c>
      <c r="H89" s="15" t="n">
        <v>53072</v>
      </c>
      <c r="I89" s="15" t="n">
        <f aca="false">H89-G89</f>
        <v>218</v>
      </c>
    </row>
    <row r="90" customFormat="false" ht="15" hidden="false" customHeight="false" outlineLevel="0" collapsed="false">
      <c r="A90" s="12" t="n">
        <v>64</v>
      </c>
      <c r="B90" s="13" t="n">
        <v>45906</v>
      </c>
      <c r="C90" s="13" t="n">
        <v>45906</v>
      </c>
      <c r="D90" s="12" t="s">
        <v>36</v>
      </c>
      <c r="E90" s="14" t="s">
        <v>44</v>
      </c>
      <c r="F90" s="14"/>
      <c r="G90" s="15" t="n">
        <v>53072</v>
      </c>
      <c r="H90" s="15" t="n">
        <v>53143</v>
      </c>
      <c r="I90" s="15" t="n">
        <f aca="false">H90-G90</f>
        <v>71</v>
      </c>
    </row>
    <row r="91" customFormat="false" ht="15" hidden="false" customHeight="false" outlineLevel="0" collapsed="false">
      <c r="A91" s="12" t="n">
        <v>65</v>
      </c>
      <c r="B91" s="13" t="n">
        <v>45907</v>
      </c>
      <c r="C91" s="13" t="n">
        <v>45907</v>
      </c>
      <c r="D91" s="12" t="s">
        <v>39</v>
      </c>
      <c r="E91" s="14" t="s">
        <v>73</v>
      </c>
      <c r="F91" s="14" t="s">
        <v>65</v>
      </c>
      <c r="G91" s="15" t="n">
        <v>53143</v>
      </c>
      <c r="H91" s="15" t="n">
        <v>53384</v>
      </c>
      <c r="I91" s="15" t="n">
        <f aca="false">H91-G91</f>
        <v>241</v>
      </c>
    </row>
    <row r="92" customFormat="false" ht="15" hidden="false" customHeight="false" outlineLevel="0" collapsed="false">
      <c r="A92" s="12" t="n">
        <v>66</v>
      </c>
      <c r="B92" s="13" t="n">
        <v>45907</v>
      </c>
      <c r="C92" s="13" t="n">
        <v>45907</v>
      </c>
      <c r="D92" s="12" t="s">
        <v>36</v>
      </c>
      <c r="E92" s="14" t="s">
        <v>58</v>
      </c>
      <c r="F92" s="14"/>
      <c r="G92" s="15" t="n">
        <v>53384</v>
      </c>
      <c r="H92" s="15" t="n">
        <v>53416</v>
      </c>
      <c r="I92" s="15" t="n">
        <f aca="false">H92-G92</f>
        <v>32</v>
      </c>
    </row>
    <row r="93" customFormat="false" ht="15" hidden="false" customHeight="false" outlineLevel="0" collapsed="false">
      <c r="A93" s="12" t="n">
        <v>67</v>
      </c>
      <c r="B93" s="13" t="n">
        <v>45908</v>
      </c>
      <c r="C93" s="13" t="n">
        <v>45908</v>
      </c>
      <c r="D93" s="12" t="s">
        <v>36</v>
      </c>
      <c r="E93" s="14" t="s">
        <v>58</v>
      </c>
      <c r="F93" s="14"/>
      <c r="G93" s="15" t="n">
        <v>53416</v>
      </c>
      <c r="H93" s="15" t="n">
        <v>53458</v>
      </c>
      <c r="I93" s="15" t="n">
        <f aca="false">H93-G93</f>
        <v>42</v>
      </c>
    </row>
    <row r="94" customFormat="false" ht="15" hidden="false" customHeight="false" outlineLevel="0" collapsed="false">
      <c r="A94" s="12" t="n">
        <v>68</v>
      </c>
      <c r="B94" s="13" t="n">
        <v>45909</v>
      </c>
      <c r="C94" s="13" t="n">
        <v>45909</v>
      </c>
      <c r="D94" s="12" t="s">
        <v>36</v>
      </c>
      <c r="E94" s="14" t="s">
        <v>38</v>
      </c>
      <c r="F94" s="14"/>
      <c r="G94" s="15" t="n">
        <v>53458</v>
      </c>
      <c r="H94" s="15" t="n">
        <v>53533</v>
      </c>
      <c r="I94" s="15" t="n">
        <f aca="false">H94-G94</f>
        <v>75</v>
      </c>
    </row>
    <row r="95" customFormat="false" ht="15" hidden="false" customHeight="false" outlineLevel="0" collapsed="false">
      <c r="A95" s="12" t="n">
        <v>69</v>
      </c>
      <c r="B95" s="13" t="n">
        <v>45910</v>
      </c>
      <c r="C95" s="13" t="n">
        <v>45910</v>
      </c>
      <c r="D95" s="12" t="s">
        <v>36</v>
      </c>
      <c r="E95" s="14" t="s">
        <v>58</v>
      </c>
      <c r="F95" s="14"/>
      <c r="G95" s="15" t="n">
        <v>53533</v>
      </c>
      <c r="H95" s="15" t="n">
        <v>53602</v>
      </c>
      <c r="I95" s="15" t="n">
        <f aca="false">H95-G95</f>
        <v>69</v>
      </c>
    </row>
    <row r="96" customFormat="false" ht="15" hidden="false" customHeight="false" outlineLevel="0" collapsed="false">
      <c r="A96" s="12" t="n">
        <v>70</v>
      </c>
      <c r="B96" s="13" t="n">
        <v>45911</v>
      </c>
      <c r="C96" s="13" t="n">
        <v>45911</v>
      </c>
      <c r="D96" s="12" t="s">
        <v>36</v>
      </c>
      <c r="E96" s="14" t="s">
        <v>49</v>
      </c>
      <c r="F96" s="14"/>
      <c r="G96" s="15" t="n">
        <v>53602</v>
      </c>
      <c r="H96" s="15" t="n">
        <v>53693</v>
      </c>
      <c r="I96" s="15" t="n">
        <f aca="false">H96-G96</f>
        <v>91</v>
      </c>
    </row>
    <row r="97" customFormat="false" ht="15" hidden="false" customHeight="false" outlineLevel="0" collapsed="false">
      <c r="A97" s="12" t="n">
        <v>71</v>
      </c>
      <c r="B97" s="13" t="n">
        <v>45912</v>
      </c>
      <c r="C97" s="13" t="n">
        <v>45912</v>
      </c>
      <c r="D97" s="12" t="s">
        <v>39</v>
      </c>
      <c r="E97" s="14" t="s">
        <v>54</v>
      </c>
      <c r="F97" s="14" t="s">
        <v>76</v>
      </c>
      <c r="G97" s="15" t="n">
        <v>53693</v>
      </c>
      <c r="H97" s="15" t="n">
        <v>53964</v>
      </c>
      <c r="I97" s="15" t="n">
        <f aca="false">H97-G97</f>
        <v>271</v>
      </c>
    </row>
    <row r="98" customFormat="false" ht="15" hidden="false" customHeight="false" outlineLevel="0" collapsed="false">
      <c r="A98" s="12" t="n">
        <v>72</v>
      </c>
      <c r="B98" s="13" t="n">
        <v>45913</v>
      </c>
      <c r="C98" s="13" t="n">
        <v>45913</v>
      </c>
      <c r="D98" s="12" t="s">
        <v>39</v>
      </c>
      <c r="E98" s="14" t="s">
        <v>71</v>
      </c>
      <c r="F98" s="14" t="s">
        <v>77</v>
      </c>
      <c r="G98" s="15" t="n">
        <v>53964</v>
      </c>
      <c r="H98" s="15" t="n">
        <v>54222</v>
      </c>
      <c r="I98" s="15" t="n">
        <f aca="false">H98-G98</f>
        <v>258</v>
      </c>
    </row>
    <row r="99" customFormat="false" ht="15" hidden="false" customHeight="false" outlineLevel="0" collapsed="false">
      <c r="A99" s="12" t="n">
        <v>73</v>
      </c>
      <c r="B99" s="13" t="n">
        <v>45913</v>
      </c>
      <c r="C99" s="13" t="n">
        <v>45913</v>
      </c>
      <c r="D99" s="12" t="s">
        <v>36</v>
      </c>
      <c r="E99" s="14" t="s">
        <v>37</v>
      </c>
      <c r="F99" s="14"/>
      <c r="G99" s="15" t="n">
        <v>54222</v>
      </c>
      <c r="H99" s="15" t="n">
        <v>54272</v>
      </c>
      <c r="I99" s="15" t="n">
        <f aca="false">H99-G99</f>
        <v>50</v>
      </c>
    </row>
    <row r="100" customFormat="false" ht="15" hidden="false" customHeight="false" outlineLevel="0" collapsed="false">
      <c r="A100" s="12" t="n">
        <v>74</v>
      </c>
      <c r="B100" s="13" t="n">
        <v>45914</v>
      </c>
      <c r="C100" s="13" t="n">
        <v>45914</v>
      </c>
      <c r="D100" s="12" t="s">
        <v>39</v>
      </c>
      <c r="E100" s="14" t="s">
        <v>78</v>
      </c>
      <c r="F100" s="14" t="s">
        <v>61</v>
      </c>
      <c r="G100" s="15" t="n">
        <v>54272</v>
      </c>
      <c r="H100" s="15" t="n">
        <v>54428</v>
      </c>
      <c r="I100" s="15" t="n">
        <f aca="false">H100-G100</f>
        <v>156</v>
      </c>
    </row>
    <row r="101" customFormat="false" ht="15" hidden="false" customHeight="false" outlineLevel="0" collapsed="false">
      <c r="A101" s="12" t="n">
        <v>75</v>
      </c>
      <c r="B101" s="13" t="n">
        <v>45914</v>
      </c>
      <c r="C101" s="13" t="n">
        <v>45914</v>
      </c>
      <c r="D101" s="12" t="s">
        <v>36</v>
      </c>
      <c r="E101" s="14" t="s">
        <v>49</v>
      </c>
      <c r="F101" s="14"/>
      <c r="G101" s="15" t="n">
        <v>54428</v>
      </c>
      <c r="H101" s="15" t="n">
        <v>54459</v>
      </c>
      <c r="I101" s="15" t="n">
        <f aca="false">H101-G101</f>
        <v>31</v>
      </c>
    </row>
    <row r="102" customFormat="false" ht="15" hidden="false" customHeight="false" outlineLevel="0" collapsed="false">
      <c r="A102" s="12" t="n">
        <v>76</v>
      </c>
      <c r="B102" s="13" t="n">
        <v>45915</v>
      </c>
      <c r="C102" s="13" t="n">
        <v>45915</v>
      </c>
      <c r="D102" s="12" t="s">
        <v>36</v>
      </c>
      <c r="E102" s="14" t="s">
        <v>49</v>
      </c>
      <c r="F102" s="14"/>
      <c r="G102" s="15" t="n">
        <v>54459</v>
      </c>
      <c r="H102" s="15" t="n">
        <v>54507</v>
      </c>
      <c r="I102" s="15" t="n">
        <f aca="false">H102-G102</f>
        <v>48</v>
      </c>
    </row>
    <row r="103" customFormat="false" ht="15" hidden="false" customHeight="false" outlineLevel="0" collapsed="false">
      <c r="A103" s="12" t="n">
        <v>77</v>
      </c>
      <c r="B103" s="13" t="n">
        <v>45917</v>
      </c>
      <c r="C103" s="13" t="n">
        <v>45917</v>
      </c>
      <c r="D103" s="12" t="s">
        <v>36</v>
      </c>
      <c r="E103" s="14" t="s">
        <v>44</v>
      </c>
      <c r="F103" s="14"/>
      <c r="G103" s="15" t="n">
        <v>54507</v>
      </c>
      <c r="H103" s="15" t="n">
        <v>54605</v>
      </c>
      <c r="I103" s="15" t="n">
        <f aca="false">H103-G103</f>
        <v>98</v>
      </c>
    </row>
    <row r="104" customFormat="false" ht="15" hidden="false" customHeight="false" outlineLevel="0" collapsed="false">
      <c r="A104" s="12" t="n">
        <v>78</v>
      </c>
      <c r="B104" s="13" t="n">
        <v>45919</v>
      </c>
      <c r="C104" s="13" t="n">
        <v>45919</v>
      </c>
      <c r="D104" s="12" t="s">
        <v>39</v>
      </c>
      <c r="E104" s="14" t="s">
        <v>74</v>
      </c>
      <c r="F104" s="14" t="s">
        <v>70</v>
      </c>
      <c r="G104" s="15" t="n">
        <v>54605</v>
      </c>
      <c r="H104" s="15" t="n">
        <v>54725</v>
      </c>
      <c r="I104" s="15" t="n">
        <f aca="false">H104-G104</f>
        <v>120</v>
      </c>
    </row>
    <row r="105" customFormat="false" ht="15" hidden="false" customHeight="false" outlineLevel="0" collapsed="false">
      <c r="A105" s="12" t="n">
        <v>79</v>
      </c>
      <c r="B105" s="13" t="n">
        <v>45919</v>
      </c>
      <c r="C105" s="13" t="n">
        <v>45919</v>
      </c>
      <c r="D105" s="12" t="s">
        <v>36</v>
      </c>
      <c r="E105" s="14" t="s">
        <v>52</v>
      </c>
      <c r="F105" s="14"/>
      <c r="G105" s="15" t="n">
        <v>54725</v>
      </c>
      <c r="H105" s="15" t="n">
        <v>54787</v>
      </c>
      <c r="I105" s="15" t="n">
        <f aca="false">H105-G105</f>
        <v>62</v>
      </c>
    </row>
    <row r="106" customFormat="false" ht="15" hidden="false" customHeight="false" outlineLevel="0" collapsed="false">
      <c r="A106" s="12" t="n">
        <v>80</v>
      </c>
      <c r="B106" s="13" t="n">
        <v>45920</v>
      </c>
      <c r="C106" s="13" t="n">
        <v>45920</v>
      </c>
      <c r="D106" s="12" t="s">
        <v>39</v>
      </c>
      <c r="E106" s="14" t="s">
        <v>71</v>
      </c>
      <c r="F106" s="14" t="s">
        <v>57</v>
      </c>
      <c r="G106" s="15" t="n">
        <v>54787</v>
      </c>
      <c r="H106" s="15" t="n">
        <v>54960</v>
      </c>
      <c r="I106" s="15" t="n">
        <f aca="false">H106-G106</f>
        <v>173</v>
      </c>
    </row>
    <row r="107" customFormat="false" ht="15" hidden="false" customHeight="false" outlineLevel="0" collapsed="false">
      <c r="A107" s="12" t="n">
        <v>81</v>
      </c>
      <c r="B107" s="13" t="n">
        <v>45921</v>
      </c>
      <c r="C107" s="13" t="n">
        <v>45921</v>
      </c>
      <c r="D107" s="12" t="s">
        <v>39</v>
      </c>
      <c r="E107" s="14" t="s">
        <v>78</v>
      </c>
      <c r="F107" s="14" t="s">
        <v>46</v>
      </c>
      <c r="G107" s="15" t="n">
        <v>54960</v>
      </c>
      <c r="H107" s="15" t="n">
        <v>55124</v>
      </c>
      <c r="I107" s="15" t="n">
        <f aca="false">H107-G107</f>
        <v>164</v>
      </c>
    </row>
    <row r="108" customFormat="false" ht="15" hidden="false" customHeight="false" outlineLevel="0" collapsed="false">
      <c r="A108" s="12" t="n">
        <v>82</v>
      </c>
      <c r="B108" s="13" t="n">
        <v>45921</v>
      </c>
      <c r="C108" s="13" t="n">
        <v>45921</v>
      </c>
      <c r="D108" s="12" t="s">
        <v>36</v>
      </c>
      <c r="E108" s="14" t="s">
        <v>58</v>
      </c>
      <c r="F108" s="14"/>
      <c r="G108" s="15" t="n">
        <v>55124</v>
      </c>
      <c r="H108" s="15" t="n">
        <v>55187</v>
      </c>
      <c r="I108" s="15" t="n">
        <f aca="false">H108-G108</f>
        <v>63</v>
      </c>
    </row>
    <row r="109" customFormat="false" ht="15" hidden="false" customHeight="false" outlineLevel="0" collapsed="false">
      <c r="A109" s="12" t="n">
        <v>83</v>
      </c>
      <c r="B109" s="13" t="n">
        <v>45922</v>
      </c>
      <c r="C109" s="13" t="n">
        <v>45922</v>
      </c>
      <c r="D109" s="12" t="s">
        <v>36</v>
      </c>
      <c r="E109" s="14" t="s">
        <v>49</v>
      </c>
      <c r="F109" s="14"/>
      <c r="G109" s="15" t="n">
        <v>55187</v>
      </c>
      <c r="H109" s="15" t="n">
        <v>55230</v>
      </c>
      <c r="I109" s="15" t="n">
        <f aca="false">H109-G109</f>
        <v>43</v>
      </c>
    </row>
    <row r="110" customFormat="false" ht="15" hidden="false" customHeight="false" outlineLevel="0" collapsed="false">
      <c r="A110" s="16" t="s">
        <v>79</v>
      </c>
      <c r="B110" s="14"/>
      <c r="C110" s="14"/>
      <c r="D110" s="14"/>
      <c r="E110" s="14"/>
      <c r="F110" s="17" t="s">
        <v>80</v>
      </c>
      <c r="G110" s="14"/>
      <c r="H110" s="14"/>
      <c r="I110" s="18" t="n">
        <f aca="false">SUM(I27:I109)</f>
        <v>10000</v>
      </c>
    </row>
    <row r="111" customFormat="false" ht="15" hidden="false" customHeight="false" outlineLevel="0" collapsed="false">
      <c r="F111" s="17" t="s">
        <v>23</v>
      </c>
      <c r="I111" s="18" t="n">
        <f aca="false">SUMIF($D$27:$D$109,"Business",$I$27:$I$109)</f>
        <v>6834</v>
      </c>
    </row>
    <row r="112" customFormat="false" ht="15" hidden="false" customHeight="false" outlineLevel="0" collapsed="false">
      <c r="F112" s="17" t="s">
        <v>24</v>
      </c>
      <c r="I112" s="18" t="n">
        <f aca="false">SUMIF($D$27:$D$109,"Private",$I$27:$I$109)</f>
        <v>3166</v>
      </c>
    </row>
    <row r="113" customFormat="false" ht="15" hidden="false" customHeight="false" outlineLevel="0" collapsed="false">
      <c r="F113" s="17" t="s">
        <v>81</v>
      </c>
      <c r="I113" s="19" t="n">
        <f aca="false">IFERROR(I111/I110,0)</f>
        <v>0.6834</v>
      </c>
    </row>
    <row r="116" customFormat="false" ht="15" hidden="false" customHeight="false" outlineLevel="0" collapsed="false">
      <c r="A116" s="3" t="s">
        <v>82</v>
      </c>
      <c r="B116" s="3"/>
      <c r="C116" s="3"/>
      <c r="D116" s="3"/>
      <c r="E116" s="3"/>
      <c r="F116" s="3"/>
      <c r="G116" s="3"/>
      <c r="H116" s="3"/>
      <c r="I116" s="3"/>
    </row>
    <row r="117" customFormat="false" ht="30" hidden="false" customHeight="true" outlineLevel="0" collapsed="false">
      <c r="B117" s="11" t="s">
        <v>83</v>
      </c>
      <c r="C117" s="11" t="s">
        <v>84</v>
      </c>
      <c r="D117" s="11" t="s">
        <v>85</v>
      </c>
      <c r="E117" s="11" t="s">
        <v>86</v>
      </c>
      <c r="F117" s="11" t="s">
        <v>87</v>
      </c>
    </row>
    <row r="118" customFormat="false" ht="15" hidden="false" customHeight="false" outlineLevel="0" collapsed="false">
      <c r="B118" s="12" t="s">
        <v>88</v>
      </c>
      <c r="C118" s="15" t="n">
        <v>45230</v>
      </c>
      <c r="D118" s="15"/>
      <c r="E118" s="15" t="str">
        <f aca="false">IF(COUNT(C118:D118)=2,D118-C118,"")</f>
        <v/>
      </c>
      <c r="F118" s="15" t="str">
        <f aca="false">IF(ISNUMBER(E118),ROUND(E118*$D$23,0),"")</f>
        <v/>
      </c>
    </row>
    <row r="119" customFormat="false" ht="15" hidden="false" customHeight="false" outlineLevel="0" collapsed="false">
      <c r="B119" s="12" t="s">
        <v>89</v>
      </c>
      <c r="C119" s="15"/>
      <c r="D119" s="15"/>
      <c r="E119" s="15" t="str">
        <f aca="false">IF(COUNT(C119:D119)=2,D119-C119,"")</f>
        <v/>
      </c>
      <c r="F119" s="15" t="str">
        <f aca="false">IF(ISNUMBER(E119),ROUND(E119*$D$23,0),"")</f>
        <v/>
      </c>
    </row>
    <row r="120" customFormat="false" ht="15" hidden="false" customHeight="false" outlineLevel="0" collapsed="false">
      <c r="B120" s="12" t="s">
        <v>90</v>
      </c>
      <c r="C120" s="15"/>
      <c r="D120" s="15"/>
      <c r="E120" s="15" t="str">
        <f aca="false">IF(COUNT(C120:D120)=2,D120-C120,"")</f>
        <v/>
      </c>
      <c r="F120" s="15" t="str">
        <f aca="false">IF(ISNUMBER(E120),ROUND(E120*$D$23,0),"")</f>
        <v/>
      </c>
    </row>
    <row r="121" customFormat="false" ht="15" hidden="false" customHeight="false" outlineLevel="0" collapsed="false">
      <c r="B121" s="12" t="s">
        <v>91</v>
      </c>
      <c r="C121" s="15"/>
      <c r="D121" s="15"/>
      <c r="E121" s="15" t="str">
        <f aca="false">IF(COUNT(C121:D121)=2,D121-C121,"")</f>
        <v/>
      </c>
      <c r="F121" s="15" t="str">
        <f aca="false">IF(ISNUMBER(E121),ROUND(E121*$D$23,0),"")</f>
        <v/>
      </c>
    </row>
    <row r="122" customFormat="false" ht="15" hidden="false" customHeight="false" outlineLevel="0" collapsed="false">
      <c r="B122" s="12" t="s">
        <v>92</v>
      </c>
      <c r="C122" s="15"/>
      <c r="D122" s="15"/>
      <c r="E122" s="15" t="str">
        <f aca="false">IF(COUNT(C122:D122)=2,D122-C122,"")</f>
        <v/>
      </c>
      <c r="F122" s="15" t="str">
        <f aca="false">IF(ISNUMBER(E122),ROUND(E122*$D$23,0),"")</f>
        <v/>
      </c>
    </row>
  </sheetData>
  <mergeCells count="38">
    <mergeCell ref="A1:I1"/>
    <mergeCell ref="A2:I2"/>
    <mergeCell ref="A4:I4"/>
    <mergeCell ref="A5:C5"/>
    <mergeCell ref="D5:I5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116:I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2025-09-22T00:00:00Z</dcterms:created>
  <dc:creator>Car logbook generator</dc:creator>
  <dc:description/>
  <dc:language>en-US</dc:language>
  <cp:lastModifiedBy>Car logbook generator</cp:lastModifiedBy>
  <dcterms:modified xsi:type="dcterms:W3CDTF">2025-09-22T00:00:00Z</dcterms:modified>
  <cp:revision>0</cp:revision>
  <dc:subject/>
  <dc:title>Motor vehicle logbook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